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My Drive\DỰ ÁN\HIỀN. CTR GDMN THÍ ĐIỂM\CHUONGTRINHTHIDIEM_CHUYENGIAO\Bộ chung mẫu giáo\"/>
    </mc:Choice>
  </mc:AlternateContent>
  <xr:revisionPtr revIDLastSave="0" documentId="13_ncr:1_{8AA4CCBD-0A82-4B77-B765-748183644CF0}" xr6:coauthVersionLast="47" xr6:coauthVersionMax="47" xr10:uidLastSave="{00000000-0000-0000-0000-000000000000}"/>
  <bookViews>
    <workbookView xWindow="-110" yWindow="-110" windowWidth="19420" windowHeight="11500" tabRatio="500" firstSheet="1" activeTab="3" xr2:uid="{00000000-000D-0000-FFFF-FFFF00000000}"/>
  </bookViews>
  <sheets>
    <sheet name="TRANGCHU" sheetId="1" r:id="rId1"/>
    <sheet name="HUONGDAN" sheetId="2" r:id="rId2"/>
    <sheet name="KHUNGNL" sheetId="3" r:id="rId3"/>
    <sheet name="MOCPT" sheetId="4" r:id="rId4"/>
    <sheet name="MATRANYCCD" sheetId="5" r:id="rId5"/>
    <sheet name="KHNAM_3_4T" sheetId="6" r:id="rId6"/>
    <sheet name="KHNAM_4_5T" sheetId="7" r:id="rId7"/>
    <sheet name="KHNAM_5_6T" sheetId="8" r:id="rId8"/>
    <sheet name="PHIENCHE" sheetId="9" r:id="rId9"/>
    <sheet name="NGANHANGHD" sheetId="10" r:id="rId10"/>
    <sheet name="NGANHANGHL" sheetId="11" r:id="rId11"/>
    <sheet name="RUBRIC" sheetId="12" r:id="rId12"/>
    <sheet name="BANGKIEMLOP" sheetId="13" r:id="rId13"/>
    <sheet name="NHATKYQUANSAT" sheetId="14" r:id="rId14"/>
    <sheet name="PHIEUCANHAN" sheetId="15" r:id="rId15"/>
    <sheet name="PHIEUTRAODOI" sheetId="16" r:id="rId16"/>
    <sheet name="PORTFOLIO" sheetId="17" r:id="rId17"/>
    <sheet name="DASHBOARD_LOP" sheetId="18" r:id="rId18"/>
    <sheet name="DASHBOARD_TOANTRUONG" sheetId="19" r:id="rId19"/>
  </sheets>
  <definedNames>
    <definedName name="_xlnm._FilterDatabase" localSheetId="9" hidden="1">NGANHANGHD!$A$4:$P$34</definedName>
    <definedName name="_xlnm._FilterDatabase" localSheetId="10" hidden="1">NGANHANGHL!$A$4:$E$14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5" i="19" l="1"/>
  <c r="A20" i="19"/>
  <c r="A19" i="19"/>
  <c r="A18" i="19"/>
  <c r="A17" i="19"/>
  <c r="A16" i="19"/>
  <c r="A15" i="19"/>
  <c r="A14" i="19"/>
  <c r="A13" i="19"/>
  <c r="A12" i="19"/>
  <c r="A11" i="19"/>
  <c r="B7" i="19"/>
  <c r="D7" i="19" s="1"/>
  <c r="E7" i="19" s="1"/>
  <c r="I1" i="19"/>
  <c r="H1" i="19"/>
  <c r="A20" i="18"/>
  <c r="A19" i="18"/>
  <c r="A18" i="18"/>
  <c r="A17" i="18"/>
  <c r="A16" i="18"/>
  <c r="A15" i="18"/>
  <c r="A14" i="18"/>
  <c r="A13" i="18"/>
  <c r="A12" i="18"/>
  <c r="A11" i="18"/>
  <c r="B7" i="18"/>
  <c r="B5" i="18"/>
  <c r="H1" i="18"/>
  <c r="G1" i="18"/>
  <c r="M1" i="17"/>
  <c r="L1" i="17"/>
  <c r="K1" i="16"/>
  <c r="J1" i="16"/>
  <c r="L1" i="15"/>
  <c r="K1" i="15"/>
  <c r="K1" i="14"/>
  <c r="J1" i="14"/>
  <c r="O36" i="13"/>
  <c r="E20" i="18" s="1"/>
  <c r="N36" i="13"/>
  <c r="E19" i="18" s="1"/>
  <c r="M36" i="13"/>
  <c r="E18" i="18" s="1"/>
  <c r="L36" i="13"/>
  <c r="E17" i="18" s="1"/>
  <c r="K36" i="13"/>
  <c r="E16" i="18" s="1"/>
  <c r="J36" i="13"/>
  <c r="E15" i="18" s="1"/>
  <c r="I36" i="13"/>
  <c r="E14" i="18" s="1"/>
  <c r="H36" i="13"/>
  <c r="E13" i="18" s="1"/>
  <c r="G36" i="13"/>
  <c r="E12" i="18" s="1"/>
  <c r="F36" i="13"/>
  <c r="E11" i="18" s="1"/>
  <c r="O35" i="13"/>
  <c r="B20" i="18" s="1"/>
  <c r="N35" i="13"/>
  <c r="B19" i="19" s="1"/>
  <c r="E19" i="19" s="1"/>
  <c r="F19" i="19" s="1"/>
  <c r="M35" i="13"/>
  <c r="B18" i="18" s="1"/>
  <c r="L35" i="13"/>
  <c r="B17" i="19" s="1"/>
  <c r="K35" i="13"/>
  <c r="B16" i="18" s="1"/>
  <c r="J35" i="13"/>
  <c r="B15" i="19" s="1"/>
  <c r="I35" i="13"/>
  <c r="B14" i="19" s="1"/>
  <c r="E14" i="19" s="1"/>
  <c r="F14" i="19" s="1"/>
  <c r="H35" i="13"/>
  <c r="B13" i="18" s="1"/>
  <c r="G35" i="13"/>
  <c r="B12" i="18" s="1"/>
  <c r="F35" i="13"/>
  <c r="B11" i="18" s="1"/>
  <c r="O34" i="13"/>
  <c r="C20" i="18" s="1"/>
  <c r="N34" i="13"/>
  <c r="C19" i="19" s="1"/>
  <c r="M34" i="13"/>
  <c r="C18" i="18" s="1"/>
  <c r="L34" i="13"/>
  <c r="C17" i="19" s="1"/>
  <c r="K34" i="13"/>
  <c r="C16" i="18" s="1"/>
  <c r="J34" i="13"/>
  <c r="C15" i="19" s="1"/>
  <c r="I34" i="13"/>
  <c r="C14" i="19" s="1"/>
  <c r="H34" i="13"/>
  <c r="C13" i="18" s="1"/>
  <c r="G34" i="13"/>
  <c r="C12" i="18" s="1"/>
  <c r="F34" i="13"/>
  <c r="C11" i="18" s="1"/>
  <c r="O33" i="13"/>
  <c r="D20" i="18" s="1"/>
  <c r="N33" i="13"/>
  <c r="D19" i="19" s="1"/>
  <c r="M33" i="13"/>
  <c r="D18" i="18" s="1"/>
  <c r="L33" i="13"/>
  <c r="D17" i="19" s="1"/>
  <c r="K33" i="13"/>
  <c r="D16" i="19" s="1"/>
  <c r="J33" i="13"/>
  <c r="D15" i="19" s="1"/>
  <c r="I33" i="13"/>
  <c r="D14" i="19" s="1"/>
  <c r="H33" i="13"/>
  <c r="D13" i="18" s="1"/>
  <c r="G33" i="13"/>
  <c r="D12" i="18" s="1"/>
  <c r="F33" i="13"/>
  <c r="D11" i="18" s="1"/>
  <c r="S30" i="13"/>
  <c r="R30" i="13"/>
  <c r="Q30" i="13"/>
  <c r="P30" i="13"/>
  <c r="S29" i="13"/>
  <c r="R29" i="13"/>
  <c r="Q29" i="13"/>
  <c r="P29" i="13"/>
  <c r="S28" i="13"/>
  <c r="R28" i="13"/>
  <c r="Q28" i="13"/>
  <c r="P28" i="13"/>
  <c r="S27" i="13"/>
  <c r="R27" i="13"/>
  <c r="Q27" i="13"/>
  <c r="P27" i="13"/>
  <c r="S26" i="13"/>
  <c r="R26" i="13"/>
  <c r="Q26" i="13"/>
  <c r="P26" i="13"/>
  <c r="S25" i="13"/>
  <c r="R25" i="13"/>
  <c r="Q25" i="13"/>
  <c r="P25" i="13"/>
  <c r="S24" i="13"/>
  <c r="R24" i="13"/>
  <c r="Q24" i="13"/>
  <c r="P24" i="13"/>
  <c r="S23" i="13"/>
  <c r="R23" i="13"/>
  <c r="Q23" i="13"/>
  <c r="P23" i="13"/>
  <c r="S22" i="13"/>
  <c r="R22" i="13"/>
  <c r="Q22" i="13"/>
  <c r="P22" i="13"/>
  <c r="S21" i="13"/>
  <c r="R21" i="13"/>
  <c r="Q21" i="13"/>
  <c r="P21" i="13"/>
  <c r="S20" i="13"/>
  <c r="R20" i="13"/>
  <c r="Q20" i="13"/>
  <c r="P20" i="13"/>
  <c r="S19" i="13"/>
  <c r="R19" i="13"/>
  <c r="Q19" i="13"/>
  <c r="P19" i="13"/>
  <c r="S18" i="13"/>
  <c r="R18" i="13"/>
  <c r="Q18" i="13"/>
  <c r="P18" i="13"/>
  <c r="S17" i="13"/>
  <c r="R17" i="13"/>
  <c r="Q17" i="13"/>
  <c r="P17" i="13"/>
  <c r="S16" i="13"/>
  <c r="R16" i="13"/>
  <c r="Q16" i="13"/>
  <c r="P16" i="13"/>
  <c r="S15" i="13"/>
  <c r="R15" i="13"/>
  <c r="Q15" i="13"/>
  <c r="P15" i="13"/>
  <c r="S14" i="13"/>
  <c r="R14" i="13"/>
  <c r="Q14" i="13"/>
  <c r="P14" i="13"/>
  <c r="S13" i="13"/>
  <c r="R13" i="13"/>
  <c r="Q13" i="13"/>
  <c r="P13" i="13"/>
  <c r="S12" i="13"/>
  <c r="R12" i="13"/>
  <c r="Q12" i="13"/>
  <c r="P12" i="13"/>
  <c r="S11" i="13"/>
  <c r="R11" i="13"/>
  <c r="Q11" i="13"/>
  <c r="P11" i="13"/>
  <c r="S10" i="13"/>
  <c r="R10" i="13"/>
  <c r="Q10" i="13"/>
  <c r="P10" i="13"/>
  <c r="S9" i="13"/>
  <c r="R9" i="13"/>
  <c r="Q9" i="13"/>
  <c r="P9" i="13"/>
  <c r="S8" i="13"/>
  <c r="R8" i="13"/>
  <c r="Q8" i="13"/>
  <c r="P8" i="13"/>
  <c r="S7" i="13"/>
  <c r="R7" i="13"/>
  <c r="Q7" i="13"/>
  <c r="P7" i="13"/>
  <c r="S6" i="13"/>
  <c r="B6" i="18" s="1"/>
  <c r="R6" i="13"/>
  <c r="Q6" i="13"/>
  <c r="P6" i="13"/>
  <c r="W1" i="13"/>
  <c r="V1" i="13"/>
  <c r="K1" i="12"/>
  <c r="J1" i="12"/>
  <c r="H1" i="11"/>
  <c r="G1" i="11"/>
  <c r="S1" i="10"/>
  <c r="R1" i="10"/>
  <c r="L1" i="9"/>
  <c r="K1" i="9"/>
  <c r="F1" i="8"/>
  <c r="E1" i="8"/>
  <c r="F1" i="7"/>
  <c r="E1" i="7"/>
  <c r="F1" i="6"/>
  <c r="E1" i="6"/>
  <c r="I1" i="5"/>
  <c r="H1" i="5"/>
  <c r="K1" i="4"/>
  <c r="J1" i="4"/>
  <c r="L1" i="3"/>
  <c r="K1" i="3"/>
  <c r="C1" i="2"/>
  <c r="B31" i="1"/>
  <c r="B30" i="1"/>
  <c r="B28" i="1"/>
  <c r="B27" i="1"/>
  <c r="B26" i="1"/>
  <c r="B25" i="1"/>
  <c r="B24" i="1"/>
  <c r="B23" i="1"/>
  <c r="B21" i="1"/>
  <c r="B20" i="1"/>
  <c r="B18" i="1"/>
  <c r="B17" i="1"/>
  <c r="B16" i="1"/>
  <c r="B15" i="1"/>
  <c r="B13" i="1"/>
  <c r="B12" i="1"/>
  <c r="B11" i="1"/>
  <c r="B9" i="1"/>
  <c r="B8" i="1"/>
  <c r="E15" i="19" l="1"/>
  <c r="F15" i="19" s="1"/>
  <c r="E17" i="19"/>
  <c r="F17" i="19" s="1"/>
  <c r="B14" i="18"/>
  <c r="A26" i="18" s="1"/>
  <c r="D16" i="18"/>
  <c r="B12" i="19"/>
  <c r="B16" i="19"/>
  <c r="E16" i="19" s="1"/>
  <c r="F16" i="19" s="1"/>
  <c r="B18" i="19"/>
  <c r="E18" i="19" s="1"/>
  <c r="F18" i="19" s="1"/>
  <c r="B20" i="19"/>
  <c r="E20" i="19" s="1"/>
  <c r="F20" i="19" s="1"/>
  <c r="C14" i="18"/>
  <c r="B19" i="18"/>
  <c r="C12" i="19"/>
  <c r="C16" i="19"/>
  <c r="C18" i="19"/>
  <c r="C20" i="19"/>
  <c r="D14" i="18"/>
  <c r="C19" i="18"/>
  <c r="C7" i="19"/>
  <c r="D12" i="19"/>
  <c r="D18" i="19"/>
  <c r="D20" i="19"/>
  <c r="B17" i="18"/>
  <c r="D19" i="18"/>
  <c r="C17" i="18"/>
  <c r="B15" i="18"/>
  <c r="D17" i="18"/>
  <c r="C15" i="18"/>
  <c r="B11" i="19"/>
  <c r="B13" i="19"/>
  <c r="D15" i="18"/>
  <c r="C11" i="19"/>
  <c r="C13" i="19"/>
  <c r="D11" i="19"/>
  <c r="D13" i="19"/>
  <c r="E11" i="19" l="1"/>
  <c r="F11" i="19" s="1"/>
  <c r="E12" i="19"/>
  <c r="F12" i="19" s="1"/>
  <c r="E13" i="19"/>
  <c r="F13" i="19" s="1"/>
  <c r="C25" i="19" l="1"/>
  <c r="B25" i="19"/>
  <c r="C24" i="19"/>
  <c r="B24" i="19"/>
  <c r="C23" i="19"/>
  <c r="B23" i="19"/>
</calcChain>
</file>

<file path=xl/sharedStrings.xml><?xml version="1.0" encoding="utf-8"?>
<sst xmlns="http://schemas.openxmlformats.org/spreadsheetml/2006/main" count="2626" uniqueCount="1129">
  <si>
    <t>BỘ TÀI LIỆU MẪU GIÁO 3-6 TUỔI</t>
  </si>
  <si>
    <t>THEO CHƯƠNG TRÌNH GIÁO DỤC MẦM NON THÍ ĐIỂM (QĐ 388/QĐ-BGDĐT)</t>
  </si>
  <si>
    <t>Năm học 2026-2027 · Khối MGB (3-4t) - MGN (4-5t) - MGL (5-6t)</t>
  </si>
  <si>
    <t>STT</t>
  </si>
  <si>
    <t>Mã sheet (bấm để đi tới)</t>
  </si>
  <si>
    <t>Nội dung</t>
  </si>
  <si>
    <t>Nhóm</t>
  </si>
  <si>
    <t>NỀN TẢNG</t>
  </si>
  <si>
    <t>Trang chủ</t>
  </si>
  <si>
    <t>Hướng dẫn sử dụng (gồm cả Triết lý - Nguyên tắc - Mã hóa)</t>
  </si>
  <si>
    <t>KHUNG CHUYÊN MÔN</t>
  </si>
  <si>
    <t>Khung năng lực 3-6 tuổi</t>
  </si>
  <si>
    <t>Mốc phát triển 36-72 tháng</t>
  </si>
  <si>
    <t>Ma trận YCCĐ (388 đối chiếu 4222)</t>
  </si>
  <si>
    <t>KẾ HOẠCH GIÁO DỤC</t>
  </si>
  <si>
    <t>Kế hoạch năm 3-4 tuổi</t>
  </si>
  <si>
    <t>Kế hoạch năm 4-5 tuổi</t>
  </si>
  <si>
    <t>Kế hoạch năm 5-6 tuổi</t>
  </si>
  <si>
    <t>Phiên chế 35 tuần chung</t>
  </si>
  <si>
    <t>HOẠT ĐỘNG &amp; HỌC LIỆU</t>
  </si>
  <si>
    <t>Ngân hàng hoạt động</t>
  </si>
  <si>
    <t>Ngân hàng học liệu</t>
  </si>
  <si>
    <t>CÔNG CỤ ĐÁNH GIÁ THỰC ĐỊA</t>
  </si>
  <si>
    <t>Rubric đánh giá năng lực</t>
  </si>
  <si>
    <t>Phiếu cá nhân trẻ</t>
  </si>
  <si>
    <t>Bảng kiểm lớp</t>
  </si>
  <si>
    <t>Nhật ký quan sát</t>
  </si>
  <si>
    <t>Phiếu trao đổi phụ huynh</t>
  </si>
  <si>
    <t>Portfolio trẻ</t>
  </si>
  <si>
    <t>QUẢN LÝ</t>
  </si>
  <si>
    <t>Dashboard lớp</t>
  </si>
  <si>
    <t>Dashboard toàn trường</t>
  </si>
  <si>
    <t>© 2026-2027 Insight Institute — Bộ tài liệu Mẫu giáo 3-6 tuổi theo Chương trình GDMN thí điểm QĐ 388. Bản quyền nội dung thuộc về đơn vị biên soạn.</t>
  </si>
  <si>
    <t>HƯỚNG DẪN SỬ DỤNG BỘ TÀI LIỆU</t>
  </si>
  <si>
    <t>Dành cho Giáo viên và Cán bộ quản lý · File không khóa dữ liệu — có thể điều chỉnh trực tiếp theo điều kiện thực tế của lớp/trường.</t>
  </si>
  <si>
    <t>1. NGUYÊN TẮC VÀNG KHI SỬ DỤNG</t>
  </si>
  <si>
    <t>•  YCCĐ cuối 5-6 tuổi là đích chung cả 3 độ tuổi hướng tới, không phải chuẩn phải đạt ngay ở lớp Bé/Nhỡ.</t>
  </si>
  <si>
    <t>•  3 mức I (Khởi đầu/Hình thành ban đầu) → R (Củng cố) → V/M (Vững chắc/Thành thạo) là bậc thang liên thông 3 năm, KHÔNG phải chuẩn chấm điểm riêng từng lớp.</t>
  </si>
  <si>
    <t>•  Mỗi trẻ có thể ở một mức khác nhau tại cùng thời điểm — đây là điều bình thường, không dùng để so sánh hay xếp loại trẻ.</t>
  </si>
  <si>
    <t>•  Dùng mức I/H/V để CHỌN HOẠT ĐỘNG phù hợp, không dùng để kết luận về trẻ sau một lần quan sát.</t>
  </si>
  <si>
    <t>•  Đánh giá bằng QUAN SÁT và MINH CHỨNG trong sinh hoạt tự nhiên hằng ngày — không kiểm tra kiến thức, không tạo áp lực cho trẻ.</t>
  </si>
  <si>
    <t>•  Riêng khối MGL (5-6 tuổi): đối chiếu thêm QĐ 4222 vì đây là bộ chuẩn quốc gia duy nhất, chỉ áp dụng cho trẻ 5 tuổi.</t>
  </si>
  <si>
    <t>2. QUY TRÌNH SỬ DỤNG THEO NĂM HỌC</t>
  </si>
  <si>
    <t>•  Đầu năm: xem KHUNGNL + KHNAM (theo đúng độ tuổi lớp mình) để nắm mục tiêu năm học.</t>
  </si>
  <si>
    <t>•  Hằng tuần: dùng PHIENCHE để biết chủ đề, trục năng lực trọng tâm; tham khảo NGANHANGHD + NGANHANGHL để chọn hoạt động và chuẩn bị học liệu.</t>
  </si>
  <si>
    <t>•  Hằng ngày/tuần: ghi NHATKYQUANSAT khi có minh chứng cụ thể (hành vi/câu nói/sản phẩm) — không viết nhận xét chung chung.</t>
  </si>
  <si>
    <t>•  Hằng tháng/chủ đề: tổng hợp vào BANGKIEMLOP (dùng RUBRIC làm căn cứ mô tả hành vi từng mức).</t>
  </si>
  <si>
    <t>•  Cuối học kỳ: tổng hợp PHIEUCANHAN cho từng trẻ, gửi PHIEUTRAODOI cho phụ huynh, cập nhật PORTFOLIO.</t>
  </si>
  <si>
    <t>•  Cán bộ quản lý: theo dõi DASHBOARD_LOP (từng lớp) và DASHBOARD_TOANTRUONG (toàn trường) để chỉ đạo sinh hoạt chuyên môn kịp thời.</t>
  </si>
  <si>
    <t>3. KÝ HIỆU DÙNG THỐNG NHẤT TOÀN BỘ FILE</t>
  </si>
  <si>
    <t>•  I = Khởi đầu (mới làm quen, cần hỗ trợ nhiều) · H = Hình thành (làm được trong tình huống quen thuộc, cần hỗ trợ nhẹ) · V = Vững chắc (chủ động, ít/không cần hỗ trợ).</t>
  </si>
  <si>
    <t>•  X = Chưa có cơ hội quan sát — dùng khi chưa đủ minh chứng, KHÔNG suy diễn, KHÔNG mặc định là mức I.</t>
  </si>
  <si>
    <t>•  Các ô đánh giá đều có dropdown sẵn (Data Validation) chỉ nhận I/H/V/X để tránh gõ nhầm.</t>
  </si>
  <si>
    <t>4. LƯU Ý QUAN TRỌNG</t>
  </si>
  <si>
    <t>•  TUYỆT ĐỐI KHÔNG dùng bất kỳ bảng nào trong file (Rubric, Bảng kiểm, Dashboard...) để xếp loại, so sánh giữa các trẻ, hoặc đánh giá thi đua giáo viên/lớp.</t>
  </si>
  <si>
    <t>•  File KHÔNG khóa sheet/cell — giáo viên và tổ chuyên môn có thể điều chỉnh chủ đề, học liệu, câu hỏi gợi mở... cho phù hợp điều kiện địa phương, miễn giữ đúng mã năng lực và trục phát triển.</t>
  </si>
  <si>
    <t>•  Khi nhân bản sheet BANGKIEMLOP cho nhiều lớp, đặt tên liền kề nhau (VD: BANGKIEMLOP_MGB_A, BANGKIEMLOP_MGB_B...) để công thức tổng hợp ở DASHBOARD_TOANTRUONG tính đúng.</t>
  </si>
  <si>
    <t>———————————————————————————————————————————</t>
  </si>
  <si>
    <t>TRIẾT LÝ - NGUYÊN TẮC - THUẬT NGỮ - MÃ HÓA</t>
  </si>
  <si>
    <t>A. TRIẾT LÝ CỐT LÕI</t>
  </si>
  <si>
    <t>•  Lấy trẻ làm trung tâm: trẻ được lựa chọn, tham gia, trải nghiệm, thử-sai, sáng tạo.</t>
  </si>
  <si>
    <t>•  Học qua chơi, học qua trải nghiệm - không truyền thụ kiến thức một chiều, không học thuộc/làm theo mẫu máy móc.</t>
  </si>
  <si>
    <t>•  Phát triển năng lực - phẩm chất, không liệt kê kỹ năng rời rạc.</t>
  </si>
  <si>
    <t>•  Đánh giá vì sự tiến bộ của từng trẻ - không kiểm tra kiến thức, không so sánh, không xếp loại.</t>
  </si>
  <si>
    <t>•  Tích hợp STEAM (Science-Technology-Engineering-Arts-Mathematics) và SEL (5 năng lực: Nhận thức bản thân, Quản lý cảm xúc, Thấu cảm, Quan hệ tích cực, Ra quyết định có trách nhiệm) xuyên suốt hoạt động.</t>
  </si>
  <si>
    <t>•  Giáo dục hòa nhập: tôn trọng sự khác biệt, điều chỉnh phù hợp cho trẻ cần hỗ trợ đặc biệt.</t>
  </si>
  <si>
    <t>B. BẢNG MÃ HÓA 5 LĨNH VỰC PHÁT TRIỂN (QĐ 388)</t>
  </si>
  <si>
    <t>Ký hiệu</t>
  </si>
  <si>
    <t>Lĩnh vực</t>
  </si>
  <si>
    <t>Số nhóm năng lực</t>
  </si>
  <si>
    <t>TC</t>
  </si>
  <si>
    <t>Thể chất</t>
  </si>
  <si>
    <t>TX</t>
  </si>
  <si>
    <t>Tình cảm - xã hội</t>
  </si>
  <si>
    <t>NN</t>
  </si>
  <si>
    <t>Ngôn ngữ và giao tiếp</t>
  </si>
  <si>
    <t>NT</t>
  </si>
  <si>
    <t>Nhận thức</t>
  </si>
  <si>
    <t>NgT</t>
  </si>
  <si>
    <t>Nghệ thuật/Thẩm mĩ</t>
  </si>
  <si>
    <t>C. THANG MỨC PHÁT TRIỂN LIÊN THÔNG 3 ĐỘ TUỔI</t>
  </si>
  <si>
    <t>Mức</t>
  </si>
  <si>
    <t>Tên gọi</t>
  </si>
  <si>
    <t>Áp dụng cho</t>
  </si>
  <si>
    <t>Ý nghĩa</t>
  </si>
  <si>
    <t>I</t>
  </si>
  <si>
    <t>Hình thành</t>
  </si>
  <si>
    <t>MGB (3-4 tuổi)</t>
  </si>
  <si>
    <t>Trẻ mới làm quen, cần hỗ trợ toàn phần/một phần từ GV</t>
  </si>
  <si>
    <t>R</t>
  </si>
  <si>
    <t>Củng cố</t>
  </si>
  <si>
    <t>MGN (4-5 tuổi)</t>
  </si>
  <si>
    <t>Trẻ thực hiện tốt trong tình huống quen thuộc, cần hỗ trợ nhẹ</t>
  </si>
  <si>
    <t>M/V</t>
  </si>
  <si>
    <t>Thành thạo/Vững chắc</t>
  </si>
  <si>
    <t>MGL (5-6 tuổi)</t>
  </si>
  <si>
    <t>Trẻ chủ động, ít/không cần hỗ trợ, vận dụng linh hoạt</t>
  </si>
  <si>
    <t>D. THANG ĐÁNH GIÁ RUBRIC (dùng nội bộ trong 1 độ tuổi)</t>
  </si>
  <si>
    <t>Mô tả</t>
  </si>
  <si>
    <t>Khởi đầu</t>
  </si>
  <si>
    <t>Trẻ mới bắt đầu thể hiện dấu hiệu, cần hỗ trợ toàn phần, chưa ổn định</t>
  </si>
  <si>
    <t>H</t>
  </si>
  <si>
    <t>Trẻ thể hiện được trong một số tình huống quen thuộc, cần hỗ trợ một phần</t>
  </si>
  <si>
    <t>V</t>
  </si>
  <si>
    <t>Vững chắc</t>
  </si>
  <si>
    <t>Trẻ thể hiện ổn định, chủ động, ít/không cần hỗ trợ, có thể vận dụng</t>
  </si>
  <si>
    <t>X</t>
  </si>
  <si>
    <t>Chưa có cơ hội quan sát</t>
  </si>
  <si>
    <t>Chưa đủ minh chứng — không suy diễn, không mặc định vào mức nào</t>
  </si>
  <si>
    <t>E. 4 PHẨM CHẤT VÀ 5 NĂNG LỰC NỀN TẢNG</t>
  </si>
  <si>
    <t>Phẩm chất: Yêu thương - Tôn trọng - Trung thực - Trách nhiệm</t>
  </si>
  <si>
    <t>Năng lực nền tảng: Giao tiếp - Hợp tác - Giải quyết vấn đề - Thích ứng - Tự lực</t>
  </si>
  <si>
    <t>Lưu ý: KHÔNG dùng "Sáng tạo" như một năng lực nền tảng độc lập ở nhóm này — sáng tạo được lồng ghép trong nội dung từng lĩnh vực (đặc biệt Nghệ thuật), tránh nhầm lẫn với 5 năng lực nền tảng chính thức nêu trên.</t>
  </si>
  <si>
    <t>NHẬT KÝ CHỈNH SỬA BỘ TÀI LIỆU</t>
  </si>
  <si>
    <t>Ghi lại lịch sử hoàn thiện để tổ chuyên môn/nhà trường theo dõi minh bạch — không phản ánh việc "sửa lỗi" mà là quá trình hoàn thiện liên tục theo tinh thần chương trình thí điểm.</t>
  </si>
  <si>
    <t>Phiên bản</t>
  </si>
  <si>
    <t>Nội dung chỉnh sửa chính</t>
  </si>
  <si>
    <t>Lý do / Căn cứ</t>
  </si>
  <si>
    <t>v1.0</t>
  </si>
  <si>
    <t>Xây dựng kiến trúc tổng thể 16-20 sheet cho Bộ tài liệu Mẫu giáo 3-6 tuổi, dựa trên cấu trúc đã kiểm chứng của Bộ Nhà trẻ 12-36 tháng.</t>
  </si>
  <si>
    <t>Kế thừa mô hình đã vận hành tốt, đảm bảo tính nhất quán liên thông 4 độ tuổi.</t>
  </si>
  <si>
    <t>v1.1</t>
  </si>
  <si>
    <t>Xây Khung năng lực 30 mã × 3 độ tuổi (I-R-M), Mục tiêu năm học 3 độ tuổi, Phiên chế 35 tuần chung, Ngân hàng hoạt động (30 mẫu), Rubric, Bảng kiểm lớp, Nhật ký quan sát, Phiếu trao đổi CMHS, Portfolio, Dashboard.</t>
  </si>
  <si>
    <t>Bám QĐ 388, đối chiếu QĐ 4222 (riêng MGL), dữ liệu gốc từ Mục tiêu năm học và Phiên chế 3 độ tuổi đã cung cấp.</t>
  </si>
  <si>
    <t>v1.2</t>
  </si>
  <si>
    <t>Hợp nhất toàn bộ nội dung rời rạc (.docx + .xlsx) thành 1 file duy nhất BoTaiLieu_MauGiao_3-6T_CT388_2026-2027.xlsx (20 sheet).</t>
  </si>
  <si>
    <t>Giải quyết vấn đề "giảm tải hồ sơ" phát hiện ở bước rà soát 10 tiêu chí GDMN thí điểm.</t>
  </si>
  <si>
    <t>v1.3</t>
  </si>
  <si>
    <t>Thêm nút liên kết "⬅ Về Trang chủ" trên mọi sheet.</t>
  </si>
  <si>
    <t>Thiếu điều hướng so với chuẩn đã áp dụng ở Bộ Nhà trẻ.</t>
  </si>
  <si>
    <t>v1.4</t>
  </si>
  <si>
    <t>Đổi font Times New Roman toàn bộ; gộp sheet Triết lý vào Hướng dẫn sử dụng (còn 19 sheet); thêm nút "📖 Về Hướng dẫn"; chèn logo đơn vị + dòng bản quyền ở Trang chủ.</t>
  </si>
  <si>
    <t>Theo yêu cầu định dạng và nhận diện thương hiệu của đơn vị biên soạn.</t>
  </si>
  <si>
    <t>v1.5</t>
  </si>
  <si>
    <t>Viết lại mức I (3-4 tuổi) của 30/30 mã để vượt trần Nhà trẻ (mốc 33-36 tháng); cân chỉnh lại mức R (4-5 tuổi) tương ứng; sửa mức M của NT4, NN4 để tránh diễn đạt kiểu tiểu học hóa; thêm cột "Lĩnh vực tích hợp thêm" ở Ngân hàng hoạt động; đổi tên cột thành "Điều chỉnh hòa nhập / hỗ trợ đặc biệt"; lập bảng đối chiếu 19 sheet × 5 trục QĐ 388.</t>
  </si>
  <si>
    <t>Phát hiện qua đối chiếu trực tiếp với dữ liệu thật của Bộ Nhà trẻ: một số mã mức I cũ thấp hơn trần Nhà trẻ (ví dụ TC5, NN2) — vi phạm nguyên tắc liên thông tăng dần.</t>
  </si>
  <si>
    <t>v1.6</t>
  </si>
  <si>
    <t>Xác nhận 4 mã TX4, TX7, TX8, NT6 (nhóm mã từng phải bổ sung mới cho MGL ở giai đoạn đầu) đã đạt chuẩn vượt trần Nhà trẻ, không cần chỉnh sửa thêm.</t>
  </si>
  <si>
    <t>Đối chiếu trực tiếp với mã tương ứng trong Bộ Nhà trẻ — kết quả: đạt 30/30 mã.</t>
  </si>
  <si>
    <t>KHUNG NĂNG LỰC MẪU GIÁO 3-6 TUỔI — LIÊN THÔNG I → R → M</t>
  </si>
  <si>
    <t>Căn cứ QĐ 388 · 30 nhóm năng lực × 5 lĩnh vực · gắn 4 phẩm chất và 5 năng lực nền tảng</t>
  </si>
  <si>
    <t>Mã</t>
  </si>
  <si>
    <t>Tên năng lực</t>
  </si>
  <si>
    <t>3-4 tuổi (I)</t>
  </si>
  <si>
    <t>4-5 tuổi (R)</t>
  </si>
  <si>
    <t>5-6 tuổi (M)</t>
  </si>
  <si>
    <t>Minh chứng quan sát</t>
  </si>
  <si>
    <t>NL nền tảng</t>
  </si>
  <si>
    <t>Phẩm chất</t>
  </si>
  <si>
    <t>TC1</t>
  </si>
  <si>
    <t>Chủ động tham gia hoạt động thể chất</t>
  </si>
  <si>
    <t>Chủ động rủ bạn/tự chọn tham gia hoạt động thể chất mà không cần cô rủ trước; cố gắng hoàn thành dù hơi mệt, chỉ nghỉ khi thực sự cần.</t>
  </si>
  <si>
    <t>Tự đặt mục tiêu nhỏ cho bản thân khi vận động (VD: bật xa hơn lần trước) và cố gắng đạt được, ít cần cô động viên giữa chừng.</t>
  </si>
  <si>
    <t>Chủ động, hào hứng, không bỏ cuộc cho đến khi đạt mục tiêu vận động.</t>
  </si>
  <si>
    <t>Trẻ tự giác xếp hàng tập thể dục, kiên trì hoàn thành bài tập dù khó.</t>
  </si>
  <si>
    <t>Tự lực, Thích ứng</t>
  </si>
  <si>
    <t>Trách nhiệm</t>
  </si>
  <si>
    <t>TC2</t>
  </si>
  <si>
    <t>Thích ứng thay đổi vận động/sinh hoạt</t>
  </si>
  <si>
    <t>Tự điều chỉnh khi có thay đổi nhỏ, quen thuộc trong giờ vận động/sinh hoạt (đổi chỗ chơi, đổi bạn cùng nhóm) mà không cần cô trấn an nhiều.</t>
  </si>
  <si>
    <t>Thích ứng nhanh với hầu hết thay đổi trong sinh hoạt/vận động, kể cả thay đổi chưa quen nếu được báo trước.</t>
  </si>
  <si>
    <t>Chủ động đáp ứng khi có thay đổi hoạt động/sinh hoạt; dễ hòa nhập môi trường mới.</t>
  </si>
  <si>
    <t>Trẻ nhanh chóng bắt nhịp khi đổi giờ hoạt động hoặc chuyển sang sân chơi mới.</t>
  </si>
  <si>
    <t>Thích ứng</t>
  </si>
  <si>
    <t>—</t>
  </si>
  <si>
    <t>TC3</t>
  </si>
  <si>
    <t>Vận động thô</t>
  </si>
  <si>
    <t>Đi/chạy/bò/bật thành thạo hơn nhà trẻ: giữ thăng bằng khi đổi hướng - tốc độ, tự lên xuống bậc thang không cần bám vịn liên tục, phối hợp tay-chân trong trò chơi vận động nhóm nhỏ.</t>
  </si>
  <si>
    <t>Vận động linh hoạt, phối hợp nhiều kỹ năng cùng lúc (chạy-né vật cản-bắt bóng); tự điều chỉnh lực/tốc độ phù hợp tình huống chơi.</t>
  </si>
  <si>
    <t>Thực hiện vận động di chuyển đa dạng, giữ thăng bằng, phối hợp dụng cụ thuần thục.</t>
  </si>
  <si>
    <t>Trẻ đi thăng bằng trên ghế thể dục cao 30cm không cần cô đỡ.</t>
  </si>
  <si>
    <t>Tự lực</t>
  </si>
  <si>
    <t>TC4</t>
  </si>
  <si>
    <t>Vận động tinh</t>
  </si>
  <si>
    <t>Thao tác tay tinh hơn: tự cài cúc to, kéo khóa, cắt theo đường cong đơn giản, xâu hạt nhỏ hơn nhà trẻ; phối hợp tay-mắt khi ném/bắt bóng nhỏ.</t>
  </si>
  <si>
    <t>Thao tác tinh chính xác hơn: cắt theo đường cong phức tạp, gấp giấy nhiều bước, viết nét chữ cái đầu tiên rõ ràng.</t>
  </si>
  <si>
    <t>Thao tác vật liệu đa dạng, kiểm soát cơ nhỏ, phối hợp tay-mắt; tự phục vụ thành thạo.</t>
  </si>
  <si>
    <t>Trẻ tự cài cúc áo, cắt hình theo đường viền có sẵn.</t>
  </si>
  <si>
    <t>TC5</t>
  </si>
  <si>
    <t>Thực hành ăn uống hợp lý</t>
  </si>
  <si>
    <t>Tự xúc ăn gọn gàng và ăn hết khẩu phần không cần nhắc (kế thừa từ nhà trẻ); bắt đầu nhận biết món nào thuộc nhóm chất gì khi được hỏi.</t>
  </si>
  <si>
    <t>Giải thích được vì sao nên ăn đa dạng thực phẩm; tự đề xuất món ăn tốt cho sức khỏe khi được hỏi.</t>
  </si>
  <si>
    <t>Nhận biết nhóm chất dinh dưỡng; ăn đa dạng, hành vi văn minh trong ăn uống.</t>
  </si>
  <si>
    <t>Trẻ tự chọn và ăn đủ các nhóm thực phẩm trong bữa ăn tại lớp.</t>
  </si>
  <si>
    <t>TC6</t>
  </si>
  <si>
    <t>Chăm sóc sức khỏe, vệ sinh</t>
  </si>
  <si>
    <t>Tự thực hiện đủ các bước vệ sinh cá nhân quen thuộc (rửa tay, lau mặt) không cần cô làm cùng, chỉ cần nhắc nhở thời điểm; nhận biết rõ sạch-bẩn.</t>
  </si>
  <si>
    <t>Chủ động nhắc bạn cùng thực hiện vệ sinh đúng cách; tự nhận biết khi nào cơ thể mình không khỏe và báo cô.</t>
  </si>
  <si>
    <t>Chủ động, thuần thục vệ sinh cá nhân; hiểu quan hệ vệ sinh-sức khỏe, nhận ra dấu hiệu bệnh.</t>
  </si>
  <si>
    <t>Trẻ tự giác rửa tay trước ăn không cần nhắc, biết báo cô khi thấy mệt.</t>
  </si>
  <si>
    <t>TC7</t>
  </si>
  <si>
    <t>Đảm bảo an toàn</t>
  </si>
  <si>
    <t>Tự tránh xa 2-3 tình huống nguy hiểm quen thuộc mà không cần cô nhắc tại chỗ; báo cho cô khi thấy bạn gặp nguy hiểm.</t>
  </si>
  <si>
    <t>Giải thích được vì sao 1 tình huống nguy hiểm, không chỉ tránh mà còn nhắc/ngăn bạn khi thấy bạn làm sai.</t>
  </si>
  <si>
    <t>Nhận ra tình huống nguy hiểm và xử lý phù hợp; không đồng tình hành vi mất an toàn.</t>
  </si>
  <si>
    <t>Trẻ tự tránh xa ổ điện, nhắc bạn không chạy gần cầu thang.</t>
  </si>
  <si>
    <t>Giải quyết vấn đề, Tự lực</t>
  </si>
  <si>
    <t>TX1</t>
  </si>
  <si>
    <t>Nhận biết về bản thân</t>
  </si>
  <si>
    <t>Tự giới thiệu đầy đủ họ tên, tuổi, giới tính, sở thích rõ ràng khi có người hỏi, kể được 1-2 điều mình làm tốt.</t>
  </si>
  <si>
    <t>Kể được điểm mạnh và điều mình đang cố gắng cải thiện; so sánh được sở thích của mình với bạn khác.</t>
  </si>
  <si>
    <t>Tự nhận diện đặc điểm, sở thích, khả năng riêng của mình.</t>
  </si>
  <si>
    <t>Trẻ tự giới thiệu về mình và điều mình thích trước lớp.</t>
  </si>
  <si>
    <t>Trung thực</t>
  </si>
  <si>
    <t>TX2</t>
  </si>
  <si>
    <t>Quản lý bản thân</t>
  </si>
  <si>
    <t>Tự gọi tên được nhiều cảm xúc (vui, buồn, giận, sợ) không cần cô gợi ý trước; bắt đầu tự trấn tĩnh bằng cách đơn giản (hít thở, tìm đồ chơi yêu thích) khi buồn/giận nhẹ.</t>
  </si>
  <si>
    <t>Tự áp dụng 1 cách trấn tĩnh phù hợp khi buồn/giận mà không cần cô nhắc; nhận ra cảm xúc của bạn qua nét mặt.</t>
  </si>
  <si>
    <t>Nhận biết và gọi tên nhiều trạng thái cảm xúc; bước đầu tự điều chỉnh hành vi.</t>
  </si>
  <si>
    <t>Trẻ tự nói ra cảm xúc của mình và biết chờ đợi khi tức giận.</t>
  </si>
  <si>
    <t>TX3</t>
  </si>
  <si>
    <t>Nhận biết mối quan hệ xã hội</t>
  </si>
  <si>
    <t>Gọi đúng tên và vai trò của nhiều người xung quanh (không chỉ người thân) như bác bảo vệ, cô cấp dưỡng; hiểu vị trí của mình trong nhóm bạn nhỏ.</t>
  </si>
  <si>
    <t>Giải thích được vai trò/công việc của một số người trong cộng đồng (bác sĩ, công an...) không chỉ gọi tên.</t>
  </si>
  <si>
    <t>Nhận biết và ứng xử phù hợp vị trí trong gia đình/trường/lớp/cộng đồng.</t>
  </si>
  <si>
    <t>Trẻ biết chào đúng cách với cô, ông bà, bạn bè theo từng vai trò.</t>
  </si>
  <si>
    <t>Giao tiếp, Hợp tác</t>
  </si>
  <si>
    <t>Tôn trọng</t>
  </si>
  <si>
    <t>TX4</t>
  </si>
  <si>
    <t>Thiết lập và duy trì mối quan hệ xã hội</t>
  </si>
  <si>
    <t>Chủ động rủ từ 2 bạn trở lên cùng chơi, tự giới thiệu bản thân với bạn mới mà không cần cô làm cầu nối.</t>
  </si>
  <si>
    <t>Duy trì nhóm bạn chơi ổn định qua nhiều ngày, tự hòa giải mâu thuẫn nhỏ với bạn mà không cần cô can thiệp ngay.</t>
  </si>
  <si>
    <t>Chủ động thiết lập quan hệ với bạn mới/người lớn; duy trì quan hệ bạn bè ổn định, biết làm hòa.</t>
  </si>
  <si>
    <t>Trẻ tự làm hòa với bạn sau khi giận nhau, rủ bạn mới cùng chơi.</t>
  </si>
  <si>
    <t>Yêu thương</t>
  </si>
  <si>
    <t>TX5</t>
  </si>
  <si>
    <t>Thể hiện/chia sẻ cảm xúc</t>
  </si>
  <si>
    <t>Kể lại một sự việc ngắn vừa xảy ra kèm cảm xúc của mình bằng 1-2 câu, không chỉ dùng nét mặt/hành động như ở nhà trẻ.</t>
  </si>
  <si>
    <t>Kể lại sự việc có trình tự rõ ràng (đầu-giữa-cuối) kèm lý do dẫn đến cảm xúc đó.</t>
  </si>
  <si>
    <t>Phản ánh đúng hành động của bản thân, kể lại sự việc và cảm xúc liên quan.</t>
  </si>
  <si>
    <t>Trẻ kể lại một chuyện đã xảy ra và cảm xúc của mình về chuyện đó.</t>
  </si>
  <si>
    <t>Giao tiếp</t>
  </si>
  <si>
    <t>TX6</t>
  </si>
  <si>
    <t>Hợp tác</t>
  </si>
  <si>
    <t>Tự nhường hoặc đổi đồ chơi với bạn khi được đề nghị, chờ đến lượt trong trò chơi có 3-4 bạn mà không cần cô nhắc liên tục.</t>
  </si>
  <si>
    <t>Tự đề xuất chia sẻ/đổi vai khi thấy bạn cần, không đợi được nhắc; phối hợp hoàn thành 1 nhiệm vụ chung với 3-4 bạn.</t>
  </si>
  <si>
    <t>Chia sẻ, giúp đỡ bạn trong hoạt động; chờ đến lượt, phối hợp trong nhóm.</t>
  </si>
  <si>
    <t>Trẻ tự phân công vai chơi với bạn và nhường đồ dùng khi cần.</t>
  </si>
  <si>
    <t>TX7</t>
  </si>
  <si>
    <t>Ứng xử phù hợp với hoàn cảnh</t>
  </si>
  <si>
    <t>Tự điều chỉnh hành vi phù hợp ở 2-3 hoàn cảnh quen thuộc khác nhau (lớp học, sân chơi, khi có khách) mà không cần nhắc từng bước.</t>
  </si>
  <si>
    <t>Tự nhận biết và điều chỉnh hành vi phù hợp ở hoàn cảnh mới gặp lần đầu nếu được gợi ý ngắn gọn trước.</t>
  </si>
  <si>
    <t>Chủ động điều chỉnh hành vi phù hợp hoàn cảnh khác nhau (lớp, nơi công cộng, có khách).</t>
  </si>
  <si>
    <t>Trẻ tự biết giữ trật tự khi đi tham quan, lễ phép khi có khách đến lớp.</t>
  </si>
  <si>
    <t>TX8</t>
  </si>
  <si>
    <t>Ứng xử thân thiện với môi trường</t>
  </si>
  <si>
    <t>Tự thực hiện việc chăm cây/nhặt rác đúng chỗ theo thói quen đã hình thành, không cần cô nhắc từng lần.</t>
  </si>
  <si>
    <t>Tự nhắc bạn cùng thực hiện hành vi bảo vệ môi trường; nêu được 1 lý do vì sao cần làm vậy.</t>
  </si>
  <si>
    <t>Chủ động thực hiện và vận động bạn cùng bảo vệ môi trường; đề xuất ý tưởng cải thiện.</t>
  </si>
  <si>
    <t>Trẻ tự nhắc bạn bỏ rác đúng nơi, đề xuất trồng thêm cây trong lớp.</t>
  </si>
  <si>
    <t>Giải quyết vấn đề</t>
  </si>
  <si>
    <t>Ngôn ngữ</t>
  </si>
  <si>
    <t>NN1</t>
  </si>
  <si>
    <t>Lắng nghe và hiểu lời nói</t>
  </si>
  <si>
    <t>Nghe hiểu và thực hiện đúng chuỗi 2 yêu cầu liên tiếp (cao hơn 1 yêu cầu đơn ở nhà trẻ); trả lời được câu hỏi "ai/cái gì/ở đâu" liên quan tình huống quen thuộc.</t>
  </si>
  <si>
    <t>Nghe hiểu và thực hiện đúng chuỗi 3 yêu cầu liên tiếp; hiểu được yêu cầu có tính điều kiện đơn giản ("nếu... thì...").</t>
  </si>
  <si>
    <t>Nghe và nhận ra từng tiếng trong câu 5-7 tiếng; hiểu yêu cầu phức tạp hơn.</t>
  </si>
  <si>
    <t>Trẻ thực hiện đúng chuỗi 3 yêu cầu liên tiếp của cô.</t>
  </si>
  <si>
    <t>NN2</t>
  </si>
  <si>
    <t>Diễn đạt bằng lời nói</t>
  </si>
  <si>
    <t>Nói câu đơn đầy đủ chủ-vị để diễn đạt ý muốn (không chỉ 2-3 từ rời rạc); tự đặt được câu hỏi đơn giản; dùng đúng lời chào-cảm ơn-xin lỗi phù hợp tình huống.</t>
  </si>
  <si>
    <t>Diễn đạt câu phức đơn giản (có từ nối "và", "nhưng"), trình bày được lý do cho ý kiến của mình.</t>
  </si>
  <si>
    <t>Nói rõ ràng, đủ ý khi thể hiện ý kiến, nhu cầu, cảm xúc.</t>
  </si>
  <si>
    <t>Trẻ trình bày ý kiến rõ ràng trước nhóm bạn khi thảo luận.</t>
  </si>
  <si>
    <t>NN3</t>
  </si>
  <si>
    <t>Ngôn ngữ sáng tạo / sẵn sàng học đọc</t>
  </si>
  <si>
    <t>Nghe và kể lại được trình tự chính của 1 câu chuyện ngắn quen thuộc bằng lời của mình (không chỉ lặp từ như nhà trẻ).</t>
  </si>
  <si>
    <t>Kể chuyện có mở đầu-diễn biến-kết thúc rõ ràng, tự thêm chi tiết mới không có trong bản gốc.</t>
  </si>
  <si>
    <t>Kể về sự vật/hiện tượng hoặc kể lại câu chuyện bằng lời riêng, có sáng tạo.</t>
  </si>
  <si>
    <t>Trẻ tự sáng tác đoạn kết khác cho câu chuyện đã nghe.</t>
  </si>
  <si>
    <t>NN4</t>
  </si>
  <si>
    <t>Sẵn sàng học viết</t>
  </si>
  <si>
    <t>Cầm bút đúng cách, tô/đồ theo nét có kiểm soát tốt hơn nhà trẻ (đường xoáy tròn, nét ngang-dọc rõ ràng); nhận ra 1-2 chữ cái quen thuộc (chữ trong tên mình).</t>
  </si>
  <si>
    <t>Sao chép chính xác chữ cái/từ ngắn quen thuộc (tên mình, tên bạn thân); nhận biết 4-6 chữ cái.</t>
  </si>
  <si>
    <t>Nhận biết được hầu hết 29 chữ cái qua trò chơi và hoạt động hằng ngày (KHÔNG dạy đọc-viết chính thức như tiểu học); tô đồ và sao chép đúng chữ cái, tên riêng của bản thân; hứng thú tự "đọc" sách tranh theo cách hiểu của mình.</t>
  </si>
  <si>
    <t>Trẻ tự viết/sao chép được tên mình vào sản phẩm.</t>
  </si>
  <si>
    <t>NT1</t>
  </si>
  <si>
    <t>Sẵn sàng trải nghiệm, tập trung nhiệm vụ</t>
  </si>
  <si>
    <t>Duy trì 1 hoạt động yêu thích liên tục 8-10 phút không bỏ dở giữa chừng; quay lại hoàn thành nếu bị gián đoạn.</t>
  </si>
  <si>
    <t>Duy trì hoạt động 12-15 phút kể cả khi gặp khó khăn giữa chừng, tự tìm cách vượt qua trước khi nhờ cô.</t>
  </si>
  <si>
    <t>Thể hiện sự thoải mái, sẵn sàng tham gia trải nghiệm mới; tập trung hoàn thành nhiệm vụ.</t>
  </si>
  <si>
    <t>Trẻ tự hoàn thành một dự án nhỏ đến cùng dù mất nhiều bước.</t>
  </si>
  <si>
    <t>NT2</t>
  </si>
  <si>
    <t>Chủ động khám phá và giải quyết vấn đề</t>
  </si>
  <si>
    <t>Tự khám phá đồ vật/hiện tượng quen thuộc theo cách riêng (không chỉ làm theo cô), thử ít nhất 1 cách khác khi cách đầu chưa hiệu quả.</t>
  </si>
  <si>
    <t>Thử nghiệm có chủ đích ít nhất 2 cách khác nhau cho cùng 1 vấn đề và so sánh kết quả.</t>
  </si>
  <si>
    <t>Chủ động khám phá, thử nghiệm với công nghệ số/STEAM để giải quyết vấn đề.</t>
  </si>
  <si>
    <t>Trẻ tự thử nhiều cách khác nhau để hoàn thành thử thách xây dựng STEAM.</t>
  </si>
  <si>
    <t>NT3</t>
  </si>
  <si>
    <t>Hiểu biết ban đầu về thế giới xung quanh</t>
  </si>
  <si>
    <t>Mô tả được từ 2 đặc điểm trở lên của sự vật/hiện tượng quen thuộc (không chỉ gọi tên như nhà trẻ); nhận biết số lượng, hình, kích thước cơ bản.</t>
  </si>
  <si>
    <t>Giải thích được nguyên nhân đơn giản của 1 hiện tượng quen thuộc (VD: vì sao cây cần nước).</t>
  </si>
  <si>
    <t>Mô tả đặc điểm/tính chất/sự thay đổi của con người, sự vật, hiện tượng xung quanh.</t>
  </si>
  <si>
    <t>Trẻ mô tả được quá trình cây lớn lên qua các giai đoạn quan sát.</t>
  </si>
  <si>
    <t>NT4</t>
  </si>
  <si>
    <t>Kỹ năng nhận thức (số, đếm, đo, hình, không gian, thời gian)</t>
  </si>
  <si>
    <t>Đếm đúng số lượng đến 5, so sánh nhiều hơn/ít hơn/bằng nhau giữa 2 nhóm vật thật qua chơi (không học thuộc số suông); nhận biết và gọi tên hình tròn, vuông, tam giác.</t>
  </si>
  <si>
    <t>Đếm đến 10, thêm-bớt trong phạm vi 5 qua vật thật; nhận biết thêm hình chữ nhật, phân biệt to hơn/nhỏ hơn/dài hơn.</t>
  </si>
  <si>
    <t>Qua trò chơi và trải nghiệm hằng ngày: đếm đến 10, tách-gộp một nhóm đối tượng trong phạm vi 10 bằng nhiều cách, nhận biết chữ số 1-10 và số thứ tự; đo độ dài/dung tích bằng đơn vị tự chọn (gang tay, cốc, que tính); nhận biết hôm qua - hôm nay - ngày mai, các buổi trong ngày.</t>
  </si>
  <si>
    <t>Trẻ tự tách một nhóm 10 đồ vật thành 2 nhóm bằng nhiều cách khác nhau.</t>
  </si>
  <si>
    <t>NT5</t>
  </si>
  <si>
    <t>Giải quyết vấn đề đơn giản</t>
  </si>
  <si>
    <t>Tự nhận ra có vấn đề xảy ra trong tình huống chơi quen thuộc (đồ chơi kẹt, khối đổ) và thử ít nhất 1 cách xử lý trước khi nhờ cô.</t>
  </si>
  <si>
    <t>Tự thử từ 2 cách xử lý trở lên khi gặp vấn đề quen thuộc trước khi cần gợi ý của cô.</t>
  </si>
  <si>
    <t>Quan sát, thu thập thông tin để nhận ra vấn đề; tự thực hiện quy trình giải quyết (EDP).</t>
  </si>
  <si>
    <t>Trẻ tự đề xuất và thử nghiệm cách sửa mô hình bị đổ.</t>
  </si>
  <si>
    <t>NT6</t>
  </si>
  <si>
    <t>Hành động phù hợp với con người/sự vật/môi trường</t>
  </si>
  <si>
    <t>Tự điều chỉnh hành động phù hợp trong 2-3 tình huống quen thuộc khác nhau đã từng trải qua, không cần cô nhắc lại từng bước như nhà trẻ.</t>
  </si>
  <si>
    <t>Tự điều chỉnh hành động phù hợp ở tình huống mới gặp lần đầu nếu có gợi ý ngắn trước đó.</t>
  </si>
  <si>
    <t>Tự điều chỉnh hành động phù hợp khi gặp tình huống/môi trường mới lạ; vận dụng an toàn.</t>
  </si>
  <si>
    <t>Trẻ tự xử lý phù hợp khi gặp tình huống chưa từng gặp ngoài lớp học.</t>
  </si>
  <si>
    <t>Nghệ thuật</t>
  </si>
  <si>
    <t>NgT1</t>
  </si>
  <si>
    <t>Cảm thụ vẻ đẹp trong cuộc sống và nghệ thuật</t>
  </si>
  <si>
    <t>Chủ động chỉ ra và gọi tên điều mình thấy đẹp trong tranh/thiên nhiên mà không cần cô hỏi trước.</t>
  </si>
  <si>
    <t>Giải thích được lý do vì sao mình thấy một sự vật/tác phẩm đẹp, không chỉ chỉ ra.</t>
  </si>
  <si>
    <t>Yêu thích, trân trọng sản phẩm nghệ thuật, cái đẹp trong cuộc sống và truyền thống.</t>
  </si>
  <si>
    <t>Trẻ tự chỉ và nói vì sao mình thích một bức tranh/bản nhạc.</t>
  </si>
  <si>
    <t>NgT2</t>
  </si>
  <si>
    <t>Thể hiện ý kiến, cảm nhận về cái đẹp</t>
  </si>
  <si>
    <t>Nói được 1 câu ngắn nêu cảm nhận về sản phẩm nghệ thuật (đẹp vì sao), không chỉ trả lời có/không.</t>
  </si>
  <si>
    <t>Nói được 2-3 câu nhận xét có lý do về sản phẩm nghệ thuật của mình hoặc của bạn.</t>
  </si>
  <si>
    <t>Thể hiện cảm xúc, bày tỏ ý kiến bằng lời về sản phẩm nghệ thuật.</t>
  </si>
  <si>
    <t>Trẻ nhận xét được sản phẩm của bạn và nêu lý do thích/không thích.</t>
  </si>
  <si>
    <t>NgT5</t>
  </si>
  <si>
    <t>Sáng tạo trong hoạt động âm nhạc</t>
  </si>
  <si>
    <t>Tự hát trọn vẹn 1 bài hát ngắn quen thuộc và vận động theo nhịp mà không cần cô hát cùng suốt.</t>
  </si>
  <si>
    <t>Tự sáng tác 1 giai điệu/nhịp gõ ngắn của riêng mình, không chỉ biến tấu từ bài có sẵn.</t>
  </si>
  <si>
    <t>Tạo âm thanh có tính nhạc theo cách khác nhau; sáng tạo trong vận động, giai điệu.</t>
  </si>
  <si>
    <t>Trẻ tự nghĩ ra cách gõ nhịp mới cho bài hát quen thuộc.</t>
  </si>
  <si>
    <t>NgT6</t>
  </si>
  <si>
    <t>Sáng tạo trong hoạt động tạo hình</t>
  </si>
  <si>
    <t>Vẽ/nặn ra sản phẩm nhận biết được là hình gì (không còn nguệch ngoạc như nhà trẻ), có ý tưởng đơn giản của riêng mình.</t>
  </si>
  <si>
    <t>Tạo sản phẩm tạo hình có chủ đề rõ ràng do mình tự nghĩ ra trước khi làm, không chỉ làm rồi mới đặt tên.</t>
  </si>
  <si>
    <t>Tạo ra sản phẩm tạo hình mang dấu ấn cá nhân, có ý tưởng và sáng tạo riêng.</t>
  </si>
  <si>
    <t>Trẻ tự nghĩ ra và thực hiện một sản phẩm tạo hình không theo mẫu có sẵn.</t>
  </si>
  <si>
    <t>NgT7</t>
  </si>
  <si>
    <t>Sáng tạo trong hoạt động kịch/vận động nghệ thuật</t>
  </si>
  <si>
    <t>Tự nhận 1 vai chơi đơn giản trong trò chơi đóng vai theo nhóm nhỏ, có 1-2 câu thoại tự nghĩ ra.</t>
  </si>
  <si>
    <t>Tự xây dựng một đoạn tình huống chơi đóng vai có 2-3 nhân vật với lời thoại do nhóm tự nghĩ ra.</t>
  </si>
  <si>
    <t>Chủ động sáng tạo trong hoạt động kịch, vận động minh họa, phối hợp nhóm.</t>
  </si>
  <si>
    <t>Trẻ tự nghĩ lời thoại mới khi đóng kịch cùng nhóm bạn.</t>
  </si>
  <si>
    <t>MỐC PHÁT TRIỂN 36-72 THÁNG (6 MỐC x 6 THÁNG)</t>
  </si>
  <si>
    <t>Chia nhỏ tiến trình I→R→M thành 6 mốc để GV chọn hoạt động sát tốc độ thực của trẻ. Mốc 1-2 tương ứng vùng mức I, 3-4 vùng mức R, 5-6 vùng mức M — là mốc GỢI Ý CĂN CHỈNH, không phải dữ liệu đo lường mới.</t>
  </si>
  <si>
    <t>Lưu ý: nội dung mốc 1,3,5 (đầu giai đoạn) và mốc 2,4,6 (cuối giai đoạn) được nội suy từ đúng 3 mức I/R/M đã có ở sheet KHUNGNL — GV cần quan sát thực tế để hiệu chỉnh thêm.</t>
  </si>
  <si>
    <t>36-42th</t>
  </si>
  <si>
    <t>42-48th</t>
  </si>
  <si>
    <t>48-54th</t>
  </si>
  <si>
    <t>54-60th</t>
  </si>
  <si>
    <t>60-66th</t>
  </si>
  <si>
    <t>66-72th</t>
  </si>
  <si>
    <t>Chủ động rủ bạn/tự chọn tham gia hoạt động thể chất mà không cần cô rủ trước;</t>
  </si>
  <si>
    <t>cố gắng hoàn thành dù hơi mệt, chỉ nghỉ khi thực sự cần.</t>
  </si>
  <si>
    <t>Mới bắt đầu: Tự đặt mục tiêu nhỏ cho bản thân khi vận động (VD: bật xa hơn lần trước) và cố gắng đạt được, ít cần cô động viên giữa chừng.</t>
  </si>
  <si>
    <t>Ổn định dần: Tự đặt mục tiêu nhỏ cho bản thân khi vận động (VD: bật xa hơn lần trước) và cố gắng đạt được, ít cần cô động viên giữa chừng.</t>
  </si>
  <si>
    <t>Mới bắt đầu: Chủ động, hào hứng, không bỏ cuộc cho đến khi đạt mục tiêu vận động.</t>
  </si>
  <si>
    <t>Ổn định dần: Chủ động, hào hứng, không bỏ cuộc cho đến khi đạt mục tiêu vận động.</t>
  </si>
  <si>
    <t>Mới bắt đầu: Tự điều chỉnh khi có thay đổi nhỏ, quen thuộc trong giờ vận động/sinh hoạt (đổi chỗ chơi, đổi bạn cùng nhóm) mà không cần cô trấn an nhiều.</t>
  </si>
  <si>
    <t>Ổn định dần: Tự điều chỉnh khi có thay đổi nhỏ, quen thuộc trong giờ vận động/sinh hoạt (đổi chỗ chơi, đổi bạn cùng nhóm) mà không cần cô trấn an nhiều.</t>
  </si>
  <si>
    <t>Mới bắt đầu: Thích ứng nhanh với hầu hết thay đổi trong sinh hoạt/vận động, kể cả thay đổi chưa quen nếu được báo trước.</t>
  </si>
  <si>
    <t>Ổn định dần: Thích ứng nhanh với hầu hết thay đổi trong sinh hoạt/vận động, kể cả thay đổi chưa quen nếu được báo trước.</t>
  </si>
  <si>
    <t>Chủ động đáp ứng khi có thay đổi hoạt động/sinh hoạt;</t>
  </si>
  <si>
    <t>dễ hòa nhập môi trường mới.</t>
  </si>
  <si>
    <t>Mới bắt đầu: Đi/chạy/bò/bật thành thạo hơn nhà trẻ: giữ thăng bằng khi đổi hướng - tốc độ, tự lên xuống bậc thang không cần bám vịn liên tục, phối hợp tay-chân trong trò chơi vận động nhóm nhỏ.</t>
  </si>
  <si>
    <t>Ổn định dần: Đi/chạy/bò/bật thành thạo hơn nhà trẻ: giữ thăng bằng khi đổi hướng - tốc độ, tự lên xuống bậc thang không cần bám vịn liên tục, phối hợp tay-chân trong trò chơi vận động nhóm nhỏ.</t>
  </si>
  <si>
    <t>Vận động linh hoạt, phối hợp nhiều kỹ năng cùng lúc (chạy-né vật cản-bắt bóng);</t>
  </si>
  <si>
    <t>tự điều chỉnh lực/tốc độ phù hợp tình huống chơi.</t>
  </si>
  <si>
    <t>Mới bắt đầu: Thực hiện vận động di chuyển đa dạng, giữ thăng bằng, phối hợp dụng cụ thuần thục.</t>
  </si>
  <si>
    <t>Ổn định dần: Thực hiện vận động di chuyển đa dạng, giữ thăng bằng, phối hợp dụng cụ thuần thục.</t>
  </si>
  <si>
    <t>Thao tác tay tinh hơn: tự cài cúc to, kéo khóa, cắt theo đường cong đơn giản, xâu hạt nhỏ hơn nhà trẻ;</t>
  </si>
  <si>
    <t>phối hợp tay-mắt khi ném/bắt bóng nhỏ.</t>
  </si>
  <si>
    <t>Mới bắt đầu: Thao tác tinh chính xác hơn: cắt theo đường cong phức tạp, gấp giấy nhiều bước, viết nét chữ cái đầu tiên rõ ràng.</t>
  </si>
  <si>
    <t>Ổn định dần: Thao tác tinh chính xác hơn: cắt theo đường cong phức tạp, gấp giấy nhiều bước, viết nét chữ cái đầu tiên rõ ràng.</t>
  </si>
  <si>
    <t>Thao tác vật liệu đa dạng, kiểm soát cơ nhỏ, phối hợp tay-mắt;</t>
  </si>
  <si>
    <t>tự phục vụ thành thạo.</t>
  </si>
  <si>
    <t>Tự xúc ăn gọn gàng và ăn hết khẩu phần không cần nhắc (kế thừa từ nhà trẻ);</t>
  </si>
  <si>
    <t>bắt đầu nhận biết món nào thuộc nhóm chất gì khi được hỏi.</t>
  </si>
  <si>
    <t>Giải thích được vì sao nên ăn đa dạng thực phẩm;</t>
  </si>
  <si>
    <t>tự đề xuất món ăn tốt cho sức khỏe khi được hỏi.</t>
  </si>
  <si>
    <t>Nhận biết nhóm chất dinh dưỡng;</t>
  </si>
  <si>
    <t>ăn đa dạng, hành vi văn minh trong ăn uống.</t>
  </si>
  <si>
    <t>Tự thực hiện đủ các bước vệ sinh cá nhân quen thuộc (rửa tay, lau mặt) không cần cô làm cùng, chỉ cần nhắc nhở thời điểm;</t>
  </si>
  <si>
    <t>nhận biết rõ sạch-bẩn.</t>
  </si>
  <si>
    <t>Chủ động nhắc bạn cùng thực hiện vệ sinh đúng cách;</t>
  </si>
  <si>
    <t>tự nhận biết khi nào cơ thể mình không khỏe và báo cô.</t>
  </si>
  <si>
    <t>Chủ động, thuần thục vệ sinh cá nhân;</t>
  </si>
  <si>
    <t>hiểu quan hệ vệ sinh-sức khỏe, nhận ra dấu hiệu bệnh.</t>
  </si>
  <si>
    <t>Tự tránh xa 2-3 tình huống nguy hiểm quen thuộc mà không cần cô nhắc tại chỗ;</t>
  </si>
  <si>
    <t>báo cho cô khi thấy bạn gặp nguy hiểm.</t>
  </si>
  <si>
    <t>Mới bắt đầu: Giải thích được vì sao 1 tình huống nguy hiểm, không chỉ tránh mà còn nhắc/ngăn bạn khi thấy bạn làm sai.</t>
  </si>
  <si>
    <t>Ổn định dần: Giải thích được vì sao 1 tình huống nguy hiểm, không chỉ tránh mà còn nhắc/ngăn bạn khi thấy bạn làm sai.</t>
  </si>
  <si>
    <t>Nhận ra tình huống nguy hiểm và xử lý phù hợp;</t>
  </si>
  <si>
    <t>không đồng tình hành vi mất an toàn.</t>
  </si>
  <si>
    <t>Mới bắt đầu: Tự giới thiệu đầy đủ họ tên, tuổi, giới tính, sở thích rõ ràng khi có người hỏi, kể được 1-2 điều mình làm tốt.</t>
  </si>
  <si>
    <t>Ổn định dần: Tự giới thiệu đầy đủ họ tên, tuổi, giới tính, sở thích rõ ràng khi có người hỏi, kể được 1-2 điều mình làm tốt.</t>
  </si>
  <si>
    <t>Kể được điểm mạnh và điều mình đang cố gắng cải thiện;</t>
  </si>
  <si>
    <t>so sánh được sở thích của mình với bạn khác.</t>
  </si>
  <si>
    <t>Mới bắt đầu: Tự nhận diện đặc điểm, sở thích, khả năng riêng của mình.</t>
  </si>
  <si>
    <t>Ổn định dần: Tự nhận diện đặc điểm, sở thích, khả năng riêng của mình.</t>
  </si>
  <si>
    <t>Tự gọi tên được nhiều cảm xúc (vui, buồn, giận, sợ) không cần cô gợi ý trước;</t>
  </si>
  <si>
    <t>bắt đầu tự trấn tĩnh bằng cách đơn giản (hít thở, tìm đồ chơi yêu thích) khi buồn/giận nhẹ.</t>
  </si>
  <si>
    <t>Tự áp dụng 1 cách trấn tĩnh phù hợp khi buồn/giận mà không cần cô nhắc;</t>
  </si>
  <si>
    <t>nhận ra cảm xúc của bạn qua nét mặt.</t>
  </si>
  <si>
    <t>Nhận biết và gọi tên nhiều trạng thái cảm xúc;</t>
  </si>
  <si>
    <t>bước đầu tự điều chỉnh hành vi.</t>
  </si>
  <si>
    <t>Gọi đúng tên và vai trò của nhiều người xung quanh (không chỉ người thân) như bác bảo vệ, cô cấp dưỡng;</t>
  </si>
  <si>
    <t>hiểu vị trí của mình trong nhóm bạn nhỏ.</t>
  </si>
  <si>
    <t>Mới bắt đầu: Giải thích được vai trò/công việc của một số người trong cộng đồng (bác sĩ, công an...) không chỉ gọi tên.</t>
  </si>
  <si>
    <t>Ổn định dần: Giải thích được vai trò/công việc của một số người trong cộng đồng (bác sĩ, công an...) không chỉ gọi tên.</t>
  </si>
  <si>
    <t>Mới bắt đầu: Nhận biết và ứng xử phù hợp vị trí trong gia đình/trường/lớp/cộng đồng.</t>
  </si>
  <si>
    <t>Ổn định dần: Nhận biết và ứng xử phù hợp vị trí trong gia đình/trường/lớp/cộng đồng.</t>
  </si>
  <si>
    <t>Mới bắt đầu: Chủ động rủ từ 2 bạn trở lên cùng chơi, tự giới thiệu bản thân với bạn mới mà không cần cô làm cầu nối.</t>
  </si>
  <si>
    <t>Ổn định dần: Chủ động rủ từ 2 bạn trở lên cùng chơi, tự giới thiệu bản thân với bạn mới mà không cần cô làm cầu nối.</t>
  </si>
  <si>
    <t>Mới bắt đầu: Duy trì nhóm bạn chơi ổn định qua nhiều ngày, tự hòa giải mâu thuẫn nhỏ với bạn mà không cần cô can thiệp ngay.</t>
  </si>
  <si>
    <t>Ổn định dần: Duy trì nhóm bạn chơi ổn định qua nhiều ngày, tự hòa giải mâu thuẫn nhỏ với bạn mà không cần cô can thiệp ngay.</t>
  </si>
  <si>
    <t>Chủ động thiết lập quan hệ với bạn mới/người lớn;</t>
  </si>
  <si>
    <t>duy trì quan hệ bạn bè ổn định, biết làm hòa.</t>
  </si>
  <si>
    <t>Mới bắt đầu: Kể lại một sự việc ngắn vừa xảy ra kèm cảm xúc của mình bằng 1-2 câu, không chỉ dùng nét mặt/hành động như ở nhà trẻ.</t>
  </si>
  <si>
    <t>Ổn định dần: Kể lại một sự việc ngắn vừa xảy ra kèm cảm xúc của mình bằng 1-2 câu, không chỉ dùng nét mặt/hành động như ở nhà trẻ.</t>
  </si>
  <si>
    <t>Mới bắt đầu: Kể lại sự việc có trình tự rõ ràng (đầu-giữa-cuối) kèm lý do dẫn đến cảm xúc đó.</t>
  </si>
  <si>
    <t>Ổn định dần: Kể lại sự việc có trình tự rõ ràng (đầu-giữa-cuối) kèm lý do dẫn đến cảm xúc đó.</t>
  </si>
  <si>
    <t>Mới bắt đầu: Phản ánh đúng hành động của bản thân, kể lại sự việc và cảm xúc liên quan.</t>
  </si>
  <si>
    <t>Ổn định dần: Phản ánh đúng hành động của bản thân, kể lại sự việc và cảm xúc liên quan.</t>
  </si>
  <si>
    <t>Mới bắt đầu: Tự nhường hoặc đổi đồ chơi với bạn khi được đề nghị, chờ đến lượt trong trò chơi có 3-4 bạn mà không cần cô nhắc liên tục.</t>
  </si>
  <si>
    <t>Ổn định dần: Tự nhường hoặc đổi đồ chơi với bạn khi được đề nghị, chờ đến lượt trong trò chơi có 3-4 bạn mà không cần cô nhắc liên tục.</t>
  </si>
  <si>
    <t>Tự đề xuất chia sẻ/đổi vai khi thấy bạn cần, không đợi được nhắc;</t>
  </si>
  <si>
    <t>phối hợp hoàn thành 1 nhiệm vụ chung với 3-4 bạn.</t>
  </si>
  <si>
    <t>Chia sẻ, giúp đỡ bạn trong hoạt động;</t>
  </si>
  <si>
    <t>chờ đến lượt, phối hợp trong nhóm.</t>
  </si>
  <si>
    <t>Mới bắt đầu: Tự điều chỉnh hành vi phù hợp ở 2-3 hoàn cảnh quen thuộc khác nhau (lớp học, sân chơi, khi có khách) mà không cần nhắc từng bước.</t>
  </si>
  <si>
    <t>Ổn định dần: Tự điều chỉnh hành vi phù hợp ở 2-3 hoàn cảnh quen thuộc khác nhau (lớp học, sân chơi, khi có khách) mà không cần nhắc từng bước.</t>
  </si>
  <si>
    <t>Mới bắt đầu: Tự nhận biết và điều chỉnh hành vi phù hợp ở hoàn cảnh mới gặp lần đầu nếu được gợi ý ngắn gọn trước.</t>
  </si>
  <si>
    <t>Ổn định dần: Tự nhận biết và điều chỉnh hành vi phù hợp ở hoàn cảnh mới gặp lần đầu nếu được gợi ý ngắn gọn trước.</t>
  </si>
  <si>
    <t>Mới bắt đầu: Chủ động điều chỉnh hành vi phù hợp hoàn cảnh khác nhau (lớp, nơi công cộng, có khách).</t>
  </si>
  <si>
    <t>Ổn định dần: Chủ động điều chỉnh hành vi phù hợp hoàn cảnh khác nhau (lớp, nơi công cộng, có khách).</t>
  </si>
  <si>
    <t>Mới bắt đầu: Tự thực hiện việc chăm cây/nhặt rác đúng chỗ theo thói quen đã hình thành, không cần cô nhắc từng lần.</t>
  </si>
  <si>
    <t>Ổn định dần: Tự thực hiện việc chăm cây/nhặt rác đúng chỗ theo thói quen đã hình thành, không cần cô nhắc từng lần.</t>
  </si>
  <si>
    <t>Tự nhắc bạn cùng thực hiện hành vi bảo vệ môi trường;</t>
  </si>
  <si>
    <t>nêu được 1 lý do vì sao cần làm vậy.</t>
  </si>
  <si>
    <t>Chủ động thực hiện và vận động bạn cùng bảo vệ môi trường;</t>
  </si>
  <si>
    <t>đề xuất ý tưởng cải thiện.</t>
  </si>
  <si>
    <t>Nghe hiểu và thực hiện đúng chuỗi 2 yêu cầu liên tiếp (cao hơn 1 yêu cầu đơn ở nhà trẻ);</t>
  </si>
  <si>
    <t>trả lời được câu hỏi "ai/cái gì/ở đâu" liên quan tình huống quen thuộc.</t>
  </si>
  <si>
    <t>Nghe hiểu và thực hiện đúng chuỗi 3 yêu cầu liên tiếp;</t>
  </si>
  <si>
    <t>hiểu được yêu cầu có tính điều kiện đơn giản ("nếu... thì...").</t>
  </si>
  <si>
    <t>Nghe và nhận ra từng tiếng trong câu 5-7 tiếng;</t>
  </si>
  <si>
    <t>hiểu yêu cầu phức tạp hơn.</t>
  </si>
  <si>
    <t>Nói câu đơn đầy đủ chủ-vị để diễn đạt ý muốn (không chỉ 2-3 từ rời rạc);</t>
  </si>
  <si>
    <t>tự đặt được câu hỏi đơn giản; dùng đúng lời chào-cảm ơn-xin lỗi phù hợp tình huống.</t>
  </si>
  <si>
    <t>Mới bắt đầu: Diễn đạt câu phức đơn giản (có từ nối "và", "nhưng"), trình bày được lý do cho ý kiến của mình.</t>
  </si>
  <si>
    <t>Ổn định dần: Diễn đạt câu phức đơn giản (có từ nối "và", "nhưng"), trình bày được lý do cho ý kiến của mình.</t>
  </si>
  <si>
    <t>Mới bắt đầu: Nói rõ ràng, đủ ý khi thể hiện ý kiến, nhu cầu, cảm xúc.</t>
  </si>
  <si>
    <t>Ổn định dần: Nói rõ ràng, đủ ý khi thể hiện ý kiến, nhu cầu, cảm xúc.</t>
  </si>
  <si>
    <t>Mới bắt đầu: Nghe và kể lại được trình tự chính của 1 câu chuyện ngắn quen thuộc bằng lời của mình (không chỉ lặp từ như nhà trẻ).</t>
  </si>
  <si>
    <t>Ổn định dần: Nghe và kể lại được trình tự chính của 1 câu chuyện ngắn quen thuộc bằng lời của mình (không chỉ lặp từ như nhà trẻ).</t>
  </si>
  <si>
    <t>Mới bắt đầu: Kể chuyện có mở đầu-diễn biến-kết thúc rõ ràng, tự thêm chi tiết mới không có trong bản gốc.</t>
  </si>
  <si>
    <t>Ổn định dần: Kể chuyện có mở đầu-diễn biến-kết thúc rõ ràng, tự thêm chi tiết mới không có trong bản gốc.</t>
  </si>
  <si>
    <t>Mới bắt đầu: Kể về sự vật/hiện tượng hoặc kể lại câu chuyện bằng lời riêng, có sáng tạo.</t>
  </si>
  <si>
    <t>Ổn định dần: Kể về sự vật/hiện tượng hoặc kể lại câu chuyện bằng lời riêng, có sáng tạo.</t>
  </si>
  <si>
    <t>Cầm bút đúng cách, tô/đồ theo nét có kiểm soát tốt hơn nhà trẻ (đường xoáy tròn, nét ngang-dọc rõ ràng);</t>
  </si>
  <si>
    <t>nhận ra 1-2 chữ cái quen thuộc (chữ trong tên mình).</t>
  </si>
  <si>
    <t>Sao chép chính xác chữ cái/từ ngắn quen thuộc (tên mình, tên bạn thân);</t>
  </si>
  <si>
    <t>nhận biết 4-6 chữ cái.</t>
  </si>
  <si>
    <t>Nhận biết được hầu hết 29 chữ cái qua trò chơi và hoạt động hằng ngày (KHÔNG dạy đọc-viết chính thức như tiểu học);</t>
  </si>
  <si>
    <t>tô đồ và sao chép đúng chữ cái, tên riêng của bản thân; hứng thú tự "đọc" sách tranh theo cách hiểu của mình.</t>
  </si>
  <si>
    <t>Duy trì 1 hoạt động yêu thích liên tục 8-10 phút không bỏ dở giữa chừng;</t>
  </si>
  <si>
    <t>quay lại hoàn thành nếu bị gián đoạn.</t>
  </si>
  <si>
    <t>Mới bắt đầu: Duy trì hoạt động 12-15 phút kể cả khi gặp khó khăn giữa chừng, tự tìm cách vượt qua trước khi nhờ cô.</t>
  </si>
  <si>
    <t>Ổn định dần: Duy trì hoạt động 12-15 phút kể cả khi gặp khó khăn giữa chừng, tự tìm cách vượt qua trước khi nhờ cô.</t>
  </si>
  <si>
    <t>Thể hiện sự thoải mái, sẵn sàng tham gia trải nghiệm mới;</t>
  </si>
  <si>
    <t>tập trung hoàn thành nhiệm vụ.</t>
  </si>
  <si>
    <t>Mới bắt đầu: Tự khám phá đồ vật/hiện tượng quen thuộc theo cách riêng (không chỉ làm theo cô), thử ít nhất 1 cách khác khi cách đầu chưa hiệu quả.</t>
  </si>
  <si>
    <t>Ổn định dần: Tự khám phá đồ vật/hiện tượng quen thuộc theo cách riêng (không chỉ làm theo cô), thử ít nhất 1 cách khác khi cách đầu chưa hiệu quả.</t>
  </si>
  <si>
    <t>Mới bắt đầu: Thử nghiệm có chủ đích ít nhất 2 cách khác nhau cho cùng 1 vấn đề và so sánh kết quả.</t>
  </si>
  <si>
    <t>Ổn định dần: Thử nghiệm có chủ đích ít nhất 2 cách khác nhau cho cùng 1 vấn đề và so sánh kết quả.</t>
  </si>
  <si>
    <t>Mới bắt đầu: Chủ động khám phá, thử nghiệm với công nghệ số/STEAM để giải quyết vấn đề.</t>
  </si>
  <si>
    <t>Ổn định dần: Chủ động khám phá, thử nghiệm với công nghệ số/STEAM để giải quyết vấn đề.</t>
  </si>
  <si>
    <t>Mô tả được từ 2 đặc điểm trở lên của sự vật/hiện tượng quen thuộc (không chỉ gọi tên như nhà trẻ);</t>
  </si>
  <si>
    <t>nhận biết số lượng, hình, kích thước cơ bản.</t>
  </si>
  <si>
    <t>Mới bắt đầu: Giải thích được nguyên nhân đơn giản của 1 hiện tượng quen thuộc (VD: vì sao cây cần nước).</t>
  </si>
  <si>
    <t>Ổn định dần: Giải thích được nguyên nhân đơn giản của 1 hiện tượng quen thuộc (VD: vì sao cây cần nước).</t>
  </si>
  <si>
    <t>Mới bắt đầu: Mô tả đặc điểm/tính chất/sự thay đổi của con người, sự vật, hiện tượng xung quanh.</t>
  </si>
  <si>
    <t>Ổn định dần: Mô tả đặc điểm/tính chất/sự thay đổi của con người, sự vật, hiện tượng xung quanh.</t>
  </si>
  <si>
    <t>Đếm đúng số lượng đến 5, so sánh nhiều hơn/ít hơn/bằng nhau giữa 2 nhóm vật thật qua chơi (không học thuộc số suông);</t>
  </si>
  <si>
    <t>nhận biết và gọi tên hình tròn, vuông, tam giác.</t>
  </si>
  <si>
    <t>Đếm đến 10, thêm-bớt trong phạm vi 5 qua vật thật;</t>
  </si>
  <si>
    <t>nhận biết thêm hình chữ nhật, phân biệt to hơn/nhỏ hơn/dài hơn.</t>
  </si>
  <si>
    <t>Qua trò chơi và trải nghiệm hằng ngày: đếm đến 10, tách-gộp một nhóm đối tượng trong phạm vi 10 bằng nhiều cách, nhận biết chữ số 1-10 và số thứ tự;</t>
  </si>
  <si>
    <t>đo độ dài/dung tích bằng đơn vị tự chọn (gang tay, cốc, que tính); nhận biết hôm qua - hôm nay - ngày mai, các buổi trong ngày.</t>
  </si>
  <si>
    <t>Mới bắt đầu: Tự nhận ra có vấn đề xảy ra trong tình huống chơi quen thuộc (đồ chơi kẹt, khối đổ) và thử ít nhất 1 cách xử lý trước khi nhờ cô.</t>
  </si>
  <si>
    <t>Ổn định dần: Tự nhận ra có vấn đề xảy ra trong tình huống chơi quen thuộc (đồ chơi kẹt, khối đổ) và thử ít nhất 1 cách xử lý trước khi nhờ cô.</t>
  </si>
  <si>
    <t>Mới bắt đầu: Tự thử từ 2 cách xử lý trở lên khi gặp vấn đề quen thuộc trước khi cần gợi ý của cô.</t>
  </si>
  <si>
    <t>Ổn định dần: Tự thử từ 2 cách xử lý trở lên khi gặp vấn đề quen thuộc trước khi cần gợi ý của cô.</t>
  </si>
  <si>
    <t>Quan sát, thu thập thông tin để nhận ra vấn đề;</t>
  </si>
  <si>
    <t>tự thực hiện quy trình giải quyết (EDP).</t>
  </si>
  <si>
    <t>Mới bắt đầu: Tự điều chỉnh hành động phù hợp trong 2-3 tình huống quen thuộc khác nhau đã từng trải qua, không cần cô nhắc lại từng bước như nhà trẻ.</t>
  </si>
  <si>
    <t>Ổn định dần: Tự điều chỉnh hành động phù hợp trong 2-3 tình huống quen thuộc khác nhau đã từng trải qua, không cần cô nhắc lại từng bước như nhà trẻ.</t>
  </si>
  <si>
    <t>Mới bắt đầu: Tự điều chỉnh hành động phù hợp ở tình huống mới gặp lần đầu nếu có gợi ý ngắn trước đó.</t>
  </si>
  <si>
    <t>Ổn định dần: Tự điều chỉnh hành động phù hợp ở tình huống mới gặp lần đầu nếu có gợi ý ngắn trước đó.</t>
  </si>
  <si>
    <t>Tự điều chỉnh hành động phù hợp khi gặp tình huống/môi trường mới lạ;</t>
  </si>
  <si>
    <t>vận dụng an toàn.</t>
  </si>
  <si>
    <t>Mới bắt đầu: Chủ động chỉ ra và gọi tên điều mình thấy đẹp trong tranh/thiên nhiên mà không cần cô hỏi trước.</t>
  </si>
  <si>
    <t>Ổn định dần: Chủ động chỉ ra và gọi tên điều mình thấy đẹp trong tranh/thiên nhiên mà không cần cô hỏi trước.</t>
  </si>
  <si>
    <t>Mới bắt đầu: Giải thích được lý do vì sao mình thấy một sự vật/tác phẩm đẹp, không chỉ chỉ ra.</t>
  </si>
  <si>
    <t>Ổn định dần: Giải thích được lý do vì sao mình thấy một sự vật/tác phẩm đẹp, không chỉ chỉ ra.</t>
  </si>
  <si>
    <t>Mới bắt đầu: Yêu thích, trân trọng sản phẩm nghệ thuật, cái đẹp trong cuộc sống và truyền thống.</t>
  </si>
  <si>
    <t>Ổn định dần: Yêu thích, trân trọng sản phẩm nghệ thuật, cái đẹp trong cuộc sống và truyền thống.</t>
  </si>
  <si>
    <t>Mới bắt đầu: Nói được 1 câu ngắn nêu cảm nhận về sản phẩm nghệ thuật (đẹp vì sao), không chỉ trả lời có/không.</t>
  </si>
  <si>
    <t>Ổn định dần: Nói được 1 câu ngắn nêu cảm nhận về sản phẩm nghệ thuật (đẹp vì sao), không chỉ trả lời có/không.</t>
  </si>
  <si>
    <t>Mới bắt đầu: Nói được 2-3 câu nhận xét có lý do về sản phẩm nghệ thuật của mình hoặc của bạn.</t>
  </si>
  <si>
    <t>Ổn định dần: Nói được 2-3 câu nhận xét có lý do về sản phẩm nghệ thuật của mình hoặc của bạn.</t>
  </si>
  <si>
    <t>Mới bắt đầu: Thể hiện cảm xúc, bày tỏ ý kiến bằng lời về sản phẩm nghệ thuật.</t>
  </si>
  <si>
    <t>Ổn định dần: Thể hiện cảm xúc, bày tỏ ý kiến bằng lời về sản phẩm nghệ thuật.</t>
  </si>
  <si>
    <t>Mới bắt đầu: Tự hát trọn vẹn 1 bài hát ngắn quen thuộc và vận động theo nhịp mà không cần cô hát cùng suốt.</t>
  </si>
  <si>
    <t>Ổn định dần: Tự hát trọn vẹn 1 bài hát ngắn quen thuộc và vận động theo nhịp mà không cần cô hát cùng suốt.</t>
  </si>
  <si>
    <t>Mới bắt đầu: Tự sáng tác 1 giai điệu/nhịp gõ ngắn của riêng mình, không chỉ biến tấu từ bài có sẵn.</t>
  </si>
  <si>
    <t>Ổn định dần: Tự sáng tác 1 giai điệu/nhịp gõ ngắn của riêng mình, không chỉ biến tấu từ bài có sẵn.</t>
  </si>
  <si>
    <t>Tạo âm thanh có tính nhạc theo cách khác nhau;</t>
  </si>
  <si>
    <t>sáng tạo trong vận động, giai điệu.</t>
  </si>
  <si>
    <t>Mới bắt đầu: Vẽ/nặn ra sản phẩm nhận biết được là hình gì (không còn nguệch ngoạc như nhà trẻ), có ý tưởng đơn giản của riêng mình.</t>
  </si>
  <si>
    <t>Ổn định dần: Vẽ/nặn ra sản phẩm nhận biết được là hình gì (không còn nguệch ngoạc như nhà trẻ), có ý tưởng đơn giản của riêng mình.</t>
  </si>
  <si>
    <t>Mới bắt đầu: Tạo sản phẩm tạo hình có chủ đề rõ ràng do mình tự nghĩ ra trước khi làm, không chỉ làm rồi mới đặt tên.</t>
  </si>
  <si>
    <t>Ổn định dần: Tạo sản phẩm tạo hình có chủ đề rõ ràng do mình tự nghĩ ra trước khi làm, không chỉ làm rồi mới đặt tên.</t>
  </si>
  <si>
    <t>Mới bắt đầu: Tạo ra sản phẩm tạo hình mang dấu ấn cá nhân, có ý tưởng và sáng tạo riêng.</t>
  </si>
  <si>
    <t>Ổn định dần: Tạo ra sản phẩm tạo hình mang dấu ấn cá nhân, có ý tưởng và sáng tạo riêng.</t>
  </si>
  <si>
    <t>Mới bắt đầu: Tự nhận 1 vai chơi đơn giản trong trò chơi đóng vai theo nhóm nhỏ, có 1-2 câu thoại tự nghĩ ra.</t>
  </si>
  <si>
    <t>Ổn định dần: Tự nhận 1 vai chơi đơn giản trong trò chơi đóng vai theo nhóm nhỏ, có 1-2 câu thoại tự nghĩ ra.</t>
  </si>
  <si>
    <t>Mới bắt đầu: Tự xây dựng một đoạn tình huống chơi đóng vai có 2-3 nhân vật với lời thoại do nhóm tự nghĩ ra.</t>
  </si>
  <si>
    <t>Ổn định dần: Tự xây dựng một đoạn tình huống chơi đóng vai có 2-3 nhân vật với lời thoại do nhóm tự nghĩ ra.</t>
  </si>
  <si>
    <t>Mới bắt đầu: Chủ động sáng tạo trong hoạt động kịch, vận động minh họa, phối hợp nhóm.</t>
  </si>
  <si>
    <t>Ổn định dần: Chủ động sáng tạo trong hoạt động kịch, vận động minh họa, phối hợp nhóm.</t>
  </si>
  <si>
    <t>MA TRẬN YÊU CẦU CẦN ĐẠT (YCCĐ) — ĐỐI CHIẾU QĐ 388 VÀ QĐ 4222</t>
  </si>
  <si>
    <t>QĐ 4222 (Bộ chuẩn phát triển trẻ 5 tuổi) chỉ áp dụng cho MGL. MGB/MGN xây dựng THUẦN theo QĐ 388, không có đối chiếu 4222 tương ứng — đây là đặc điểm của hệ thống, không phải thiếu sót.</t>
  </si>
  <si>
    <t>YCCĐ 388 (mức M - đích chung 5-6 tuổi)</t>
  </si>
  <si>
    <t>Đối chiếu CS QĐ 4222 (chỉ MGL)</t>
  </si>
  <si>
    <t>Áp dụng độ tuổi</t>
  </si>
  <si>
    <t>Ghi chú</t>
  </si>
  <si>
    <t>Có đối chiếu CS-4222 (xem chi tiết trong Mục tiêu năm học 5-6 tuổi chuẩn hóa)</t>
  </si>
  <si>
    <t>MGB (I) · MGN (R) · MGL (M)</t>
  </si>
  <si>
    <t>Áp dụng cả 3 độ tuổi theo mức I/R/M tương ứng (xem sheet KHUNGNL)</t>
  </si>
  <si>
    <t>Nhận ra từng tiếng trong câu; tô, đồ, sao chép chữ cái/tên bản thân.</t>
  </si>
  <si>
    <t>Đếm, tách-gộp, thêm-bớt, xác định số thứ tự; đo lường, nhận biết không gian-thời gian.</t>
  </si>
  <si>
    <t>KẾ HOẠCH GIÁO DỤC NĂM HỌC — MẪU GIÁO BÉ 3-4 TUỔI</t>
  </si>
  <si>
    <t>Mức I - Hình thành</t>
  </si>
  <si>
    <t>I. ĐẶC ĐIỂM PHÁT TRIỂN</t>
  </si>
  <si>
    <t>Tư duy trực quan-hành động chủ đạo; tập trung ngắn (5-10 phút); muốn tự lập nhưng khả năng còn hạn chế; chơi cạnh bạn (song song) là chủ yếu; cần hỗ trợ trực tiếp phần lớn hoạt động tự phục vụ.</t>
  </si>
  <si>
    <t>II. MỤC TIÊU NĂM HỌC (5 LĨNH VỰC, MỨC I - Hình thành)</t>
  </si>
  <si>
    <t>Mục tiêu năm học</t>
  </si>
  <si>
    <t>Chủ động tham gia hoạt động thể chất: Chủ động rủ bạn/tự chọn tham gia hoạt động thể chất mà không cần cô rủ trước; cố gắng hoàn thành dù hơi mệt, chỉ nghỉ khi thực sự cần.</t>
  </si>
  <si>
    <t>Thích ứng thay đổi vận động/sinh hoạt: Tự điều chỉnh khi có thay đổi nhỏ, quen thuộc trong giờ vận động/sinh hoạt (đổi chỗ chơi, đổi bạn cùng nhóm) mà không cần cô trấn an nhiều.</t>
  </si>
  <si>
    <t>Vận động thô: Đi/chạy/bò/bật thành thạo hơn nhà trẻ: giữ thăng bằng khi đổi hướng - tốc độ, tự lên xuống bậc thang không cần bám vịn liên tục, phối hợp tay-chân trong trò chơi vận động nhóm nhỏ.</t>
  </si>
  <si>
    <t>Vận động tinh: Thao tác tay tinh hơn: tự cài cúc to, kéo khóa, cắt theo đường cong đơn giản, xâu hạt nhỏ hơn nhà trẻ; phối hợp tay-mắt khi ném/bắt bóng nhỏ.</t>
  </si>
  <si>
    <t>Thực hành ăn uống hợp lý: Tự xúc ăn gọn gàng và ăn hết khẩu phần không cần nhắc (kế thừa từ nhà trẻ); bắt đầu nhận biết món nào thuộc nhóm chất gì khi được hỏi.</t>
  </si>
  <si>
    <t>Chăm sóc sức khỏe, vệ sinh: Tự thực hiện đủ các bước vệ sinh cá nhân quen thuộc (rửa tay, lau mặt) không cần cô làm cùng, chỉ cần nhắc nhở thời điểm; nhận biết rõ sạch-bẩn.</t>
  </si>
  <si>
    <t>Đảm bảo an toàn: Tự tránh xa 2-3 tình huống nguy hiểm quen thuộc mà không cần cô nhắc tại chỗ; báo cho cô khi thấy bạn gặp nguy hiểm.</t>
  </si>
  <si>
    <t>Nhận biết về bản thân: Tự giới thiệu đầy đủ họ tên, tuổi, giới tính, sở thích rõ ràng khi có người hỏi, kể được 1-2 điều mình làm tốt.</t>
  </si>
  <si>
    <t>Quản lý bản thân: Tự gọi tên được nhiều cảm xúc (vui, buồn, giận, sợ) không cần cô gợi ý trước; bắt đầu tự trấn tĩnh bằng cách đơn giản (hít thở, tìm đồ chơi yêu thích) khi buồn/giận nhẹ.</t>
  </si>
  <si>
    <t>Nhận biết mối quan hệ xã hội: Gọi đúng tên và vai trò của nhiều người xung quanh (không chỉ người thân) như bác bảo vệ, cô cấp dưỡng; hiểu vị trí của mình trong nhóm bạn nhỏ.</t>
  </si>
  <si>
    <t>Thiết lập và duy trì mối quan hệ xã hội: Chủ động rủ từ 2 bạn trở lên cùng chơi, tự giới thiệu bản thân với bạn mới mà không cần cô làm cầu nối.</t>
  </si>
  <si>
    <t>Thể hiện/chia sẻ cảm xúc: Kể lại một sự việc ngắn vừa xảy ra kèm cảm xúc của mình bằng 1-2 câu, không chỉ dùng nét mặt/hành động như ở nhà trẻ.</t>
  </si>
  <si>
    <t>Hợp tác: Tự nhường hoặc đổi đồ chơi với bạn khi được đề nghị, chờ đến lượt trong trò chơi có 3-4 bạn mà không cần cô nhắc liên tục.</t>
  </si>
  <si>
    <t>Ứng xử phù hợp với hoàn cảnh: Tự điều chỉnh hành vi phù hợp ở 2-3 hoàn cảnh quen thuộc khác nhau (lớp học, sân chơi, khi có khách) mà không cần nhắc từng bước.</t>
  </si>
  <si>
    <t>Ứng xử thân thiện với môi trường: Tự thực hiện việc chăm cây/nhặt rác đúng chỗ theo thói quen đã hình thành, không cần cô nhắc từng lần.</t>
  </si>
  <si>
    <t>Lắng nghe và hiểu lời nói: Nghe hiểu và thực hiện đúng chuỗi 2 yêu cầu liên tiếp (cao hơn 1 yêu cầu đơn ở nhà trẻ); trả lời được câu hỏi "ai/cái gì/ở đâu" liên quan tình huống quen thuộc.</t>
  </si>
  <si>
    <t>Diễn đạt bằng lời nói: Nói câu đơn đầy đủ chủ-vị để diễn đạt ý muốn (không chỉ 2-3 từ rời rạc); tự đặt được câu hỏi đơn giản; dùng đúng lời chào-cảm ơn-xin lỗi phù hợp tình huống.</t>
  </si>
  <si>
    <t>Ngôn ngữ sáng tạo / sẵn sàng học đọc: Nghe và kể lại được trình tự chính của 1 câu chuyện ngắn quen thuộc bằng lời của mình (không chỉ lặp từ như nhà trẻ).</t>
  </si>
  <si>
    <t>Sẵn sàng học viết: Cầm bút đúng cách, tô/đồ theo nét có kiểm soát tốt hơn nhà trẻ (đường xoáy tròn, nét ngang-dọc rõ ràng); nhận ra 1-2 chữ cái quen thuộc (chữ trong tên mình).</t>
  </si>
  <si>
    <t>Sẵn sàng trải nghiệm, tập trung nhiệm vụ: Duy trì 1 hoạt động yêu thích liên tục 8-10 phút không bỏ dở giữa chừng; quay lại hoàn thành nếu bị gián đoạn.</t>
  </si>
  <si>
    <t>Chủ động khám phá và giải quyết vấn đề: Tự khám phá đồ vật/hiện tượng quen thuộc theo cách riêng (không chỉ làm theo cô), thử ít nhất 1 cách khác khi cách đầu chưa hiệu quả.</t>
  </si>
  <si>
    <t>Hiểu biết ban đầu về thế giới xung quanh: Mô tả được từ 2 đặc điểm trở lên của sự vật/hiện tượng quen thuộc (không chỉ gọi tên như nhà trẻ); nhận biết số lượng, hình, kích thước cơ bản.</t>
  </si>
  <si>
    <t>Kỹ năng nhận thức (số, đếm, đo, hình, không gian, thời gian): Đếm đúng số lượng đến 5, so sánh nhiều hơn/ít hơn/bằng nhau giữa 2 nhóm vật thật qua chơi (không học thuộc số suông); nhận biết và gọi tên hình tròn, vuông, tam giác.</t>
  </si>
  <si>
    <t>Giải quyết vấn đề đơn giản: Tự nhận ra có vấn đề xảy ra trong tình huống chơi quen thuộc (đồ chơi kẹt, khối đổ) và thử ít nhất 1 cách xử lý trước khi nhờ cô.</t>
  </si>
  <si>
    <t>Hành động phù hợp với con người/sự vật/môi trường: Tự điều chỉnh hành động phù hợp trong 2-3 tình huống quen thuộc khác nhau đã từng trải qua, không cần cô nhắc lại từng bước như nhà trẻ.</t>
  </si>
  <si>
    <t>Cảm thụ vẻ đẹp trong cuộc sống và nghệ thuật: Chủ động chỉ ra và gọi tên điều mình thấy đẹp trong tranh/thiên nhiên mà không cần cô hỏi trước.</t>
  </si>
  <si>
    <t>Thể hiện ý kiến, cảm nhận về cái đẹp: Nói được 1 câu ngắn nêu cảm nhận về sản phẩm nghệ thuật (đẹp vì sao), không chỉ trả lời có/không.</t>
  </si>
  <si>
    <t>Sáng tạo trong hoạt động âm nhạc: Tự hát trọn vẹn 1 bài hát ngắn quen thuộc và vận động theo nhịp mà không cần cô hát cùng suốt.</t>
  </si>
  <si>
    <t>Sáng tạo trong hoạt động tạo hình: Vẽ/nặn ra sản phẩm nhận biết được là hình gì (không còn nguệch ngoạc như nhà trẻ), có ý tưởng đơn giản của riêng mình.</t>
  </si>
  <si>
    <t>Sáng tạo trong hoạt động kịch/vận động nghệ thuật: Tự nhận 1 vai chơi đơn giản trong trò chơi đóng vai theo nhóm nhỏ, có 1-2 câu thoại tự nghĩ ra.</t>
  </si>
  <si>
    <t>III. PHÂN PHỐI CHỦ ĐỀ 35 TUẦN</t>
  </si>
  <si>
    <t>Tuần</t>
  </si>
  <si>
    <t>Chủ đề lớn</t>
  </si>
  <si>
    <t>1-3</t>
  </si>
  <si>
    <t>Trường mầm non - Lớp học của bé</t>
  </si>
  <si>
    <t>4-6</t>
  </si>
  <si>
    <t>Bé là ai - Cơ thể và giác quan</t>
  </si>
  <si>
    <t>7-10</t>
  </si>
  <si>
    <t>Gia đình yêu thương (gồm dinh dưỡng)</t>
  </si>
  <si>
    <t>11-14</t>
  </si>
  <si>
    <t>Nghề nghiệp quen thuộc quanh bé</t>
  </si>
  <si>
    <t>15-19</t>
  </si>
  <si>
    <t>Thế giới động vật gần gũi</t>
  </si>
  <si>
    <t>20-23</t>
  </si>
  <si>
    <t>Thế giới thực vật - Tết cổ truyền</t>
  </si>
  <si>
    <t>24-25</t>
  </si>
  <si>
    <t>Bé và phương tiện giao thông</t>
  </si>
  <si>
    <t>26-29</t>
  </si>
  <si>
    <t>Nước và hiện tượng tự nhiên</t>
  </si>
  <si>
    <t>30-33</t>
  </si>
  <si>
    <t>Quê hương - Đất nước - Bác Hồ</t>
  </si>
  <si>
    <t>34-35</t>
  </si>
  <si>
    <t>Bé lớn lên mỗi ngày - Mùa hè vui</t>
  </si>
  <si>
    <t>IV. HOẠT ĐỘNG TRỌNG TÂM</t>
  </si>
  <si>
    <t>•  Trò chơi vận động dụng cụ quen thuộc, thể dục sáng theo nhạc.</t>
  </si>
  <si>
    <t>•  Góc phân vai (gia đình, bán hàng), góc xây dựng khối to, góc nghệ thuật vẽ/nặn tự do.</t>
  </si>
  <si>
    <t>•  STEAM đơn giản: quan sát-thử nghiệm (vật nổi/chìm, cây lớn lên) - không yêu cầu ghi chép.</t>
  </si>
  <si>
    <t>•  SEL: nhận thức bản thân qua góc gương soi; nhận biết cảm xúc cơ bản qua tranh.</t>
  </si>
  <si>
    <t>•  Ngoài trời: dạo quanh khu vực quen thuộc của trường có cô đi cùng.</t>
  </si>
  <si>
    <t>V. ĐÁNH GIÁ</t>
  </si>
  <si>
    <t>Đánh giá vì sự phát triển của trẻ: quan sát, minh chứng, không kiểm tra kiến thức, không so sánh. Dùng RUBRIC + BANGKIEMLOP + NHATKYQUANSAT.</t>
  </si>
  <si>
    <t>VI. PHỐI HỢP CHA MẸ TRẺ</t>
  </si>
  <si>
    <t>Trao đổi hằng ngày lúc đón-trả trẻ; dùng PHIEUTRAODOI định kỳ theo chủ đề/tháng; mời phụ huynh tham gia hoạt động trải nghiệm phù hợp.</t>
  </si>
  <si>
    <t>KẾ HOẠCH GIÁO DỤC NĂM HỌC — MẪU GIÁO NHỠ 4-5 TUỔI</t>
  </si>
  <si>
    <t>Mức R - Củng cố</t>
  </si>
  <si>
    <t>Tư duy trực quan-hình tượng phát triển mạnh; tập trung 10-15 phút; chuyển từ chơi cạnh bạn sang chơi cùng nhóm nhỏ; chủ động hơn trong tự phục vụ; bắt đầu hợp tác, thử nghiệm và chia sẻ ý tưởng trong tình huống quen thuộc.</t>
  </si>
  <si>
    <t>II. MỤC TIÊU NĂM HỌC (5 LĨNH VỰC, MỨC R - Củng cố)</t>
  </si>
  <si>
    <t>Chủ động tham gia hoạt động thể chất: Tự đặt mục tiêu nhỏ cho bản thân khi vận động (VD: bật xa hơn lần trước) và cố gắng đạt được, ít cần cô động viên giữa chừng.</t>
  </si>
  <si>
    <t>Thích ứng thay đổi vận động/sinh hoạt: Thích ứng nhanh với hầu hết thay đổi trong sinh hoạt/vận động, kể cả thay đổi chưa quen nếu được báo trước.</t>
  </si>
  <si>
    <t>Vận động thô: Vận động linh hoạt, phối hợp nhiều kỹ năng cùng lúc (chạy-né vật cản-bắt bóng); tự điều chỉnh lực/tốc độ phù hợp tình huống chơi.</t>
  </si>
  <si>
    <t>Vận động tinh: Thao tác tinh chính xác hơn: cắt theo đường cong phức tạp, gấp giấy nhiều bước, viết nét chữ cái đầu tiên rõ ràng.</t>
  </si>
  <si>
    <t>Thực hành ăn uống hợp lý: Giải thích được vì sao nên ăn đa dạng thực phẩm; tự đề xuất món ăn tốt cho sức khỏe khi được hỏi.</t>
  </si>
  <si>
    <t>Chăm sóc sức khỏe, vệ sinh: Chủ động nhắc bạn cùng thực hiện vệ sinh đúng cách; tự nhận biết khi nào cơ thể mình không khỏe và báo cô.</t>
  </si>
  <si>
    <t>Đảm bảo an toàn: Giải thích được vì sao 1 tình huống nguy hiểm, không chỉ tránh mà còn nhắc/ngăn bạn khi thấy bạn làm sai.</t>
  </si>
  <si>
    <t>Nhận biết về bản thân: Kể được điểm mạnh và điều mình đang cố gắng cải thiện; so sánh được sở thích của mình với bạn khác.</t>
  </si>
  <si>
    <t>Quản lý bản thân: Tự áp dụng 1 cách trấn tĩnh phù hợp khi buồn/giận mà không cần cô nhắc; nhận ra cảm xúc của bạn qua nét mặt.</t>
  </si>
  <si>
    <t>Nhận biết mối quan hệ xã hội: Giải thích được vai trò/công việc của một số người trong cộng đồng (bác sĩ, công an...) không chỉ gọi tên.</t>
  </si>
  <si>
    <t>Thiết lập và duy trì mối quan hệ xã hội: Duy trì nhóm bạn chơi ổn định qua nhiều ngày, tự hòa giải mâu thuẫn nhỏ với bạn mà không cần cô can thiệp ngay.</t>
  </si>
  <si>
    <t>Thể hiện/chia sẻ cảm xúc: Kể lại sự việc có trình tự rõ ràng (đầu-giữa-cuối) kèm lý do dẫn đến cảm xúc đó.</t>
  </si>
  <si>
    <t>Hợp tác: Tự đề xuất chia sẻ/đổi vai khi thấy bạn cần, không đợi được nhắc; phối hợp hoàn thành 1 nhiệm vụ chung với 3-4 bạn.</t>
  </si>
  <si>
    <t>Ứng xử phù hợp với hoàn cảnh: Tự nhận biết và điều chỉnh hành vi phù hợp ở hoàn cảnh mới gặp lần đầu nếu được gợi ý ngắn gọn trước.</t>
  </si>
  <si>
    <t>Ứng xử thân thiện với môi trường: Tự nhắc bạn cùng thực hiện hành vi bảo vệ môi trường; nêu được 1 lý do vì sao cần làm vậy.</t>
  </si>
  <si>
    <t>Lắng nghe và hiểu lời nói: Nghe hiểu và thực hiện đúng chuỗi 3 yêu cầu liên tiếp; hiểu được yêu cầu có tính điều kiện đơn giản ("nếu... thì...").</t>
  </si>
  <si>
    <t>Diễn đạt bằng lời nói: Diễn đạt câu phức đơn giản (có từ nối "và", "nhưng"), trình bày được lý do cho ý kiến của mình.</t>
  </si>
  <si>
    <t>Ngôn ngữ sáng tạo / sẵn sàng học đọc: Kể chuyện có mở đầu-diễn biến-kết thúc rõ ràng, tự thêm chi tiết mới không có trong bản gốc.</t>
  </si>
  <si>
    <t>Sẵn sàng học viết: Sao chép chính xác chữ cái/từ ngắn quen thuộc (tên mình, tên bạn thân); nhận biết 4-6 chữ cái.</t>
  </si>
  <si>
    <t>Sẵn sàng trải nghiệm, tập trung nhiệm vụ: Duy trì hoạt động 12-15 phút kể cả khi gặp khó khăn giữa chừng, tự tìm cách vượt qua trước khi nhờ cô.</t>
  </si>
  <si>
    <t>Chủ động khám phá và giải quyết vấn đề: Thử nghiệm có chủ đích ít nhất 2 cách khác nhau cho cùng 1 vấn đề và so sánh kết quả.</t>
  </si>
  <si>
    <t>Hiểu biết ban đầu về thế giới xung quanh: Giải thích được nguyên nhân đơn giản của 1 hiện tượng quen thuộc (VD: vì sao cây cần nước).</t>
  </si>
  <si>
    <t>Kỹ năng nhận thức (số, đếm, đo, hình, không gian, thời gian): Đếm đến 10, thêm-bớt trong phạm vi 5 qua vật thật; nhận biết thêm hình chữ nhật, phân biệt to hơn/nhỏ hơn/dài hơn.</t>
  </si>
  <si>
    <t>Giải quyết vấn đề đơn giản: Tự thử từ 2 cách xử lý trở lên khi gặp vấn đề quen thuộc trước khi cần gợi ý của cô.</t>
  </si>
  <si>
    <t>Hành động phù hợp với con người/sự vật/môi trường: Tự điều chỉnh hành động phù hợp ở tình huống mới gặp lần đầu nếu có gợi ý ngắn trước đó.</t>
  </si>
  <si>
    <t>Cảm thụ vẻ đẹp trong cuộc sống và nghệ thuật: Giải thích được lý do vì sao mình thấy một sự vật/tác phẩm đẹp, không chỉ chỉ ra.</t>
  </si>
  <si>
    <t>Thể hiện ý kiến, cảm nhận về cái đẹp: Nói được 2-3 câu nhận xét có lý do về sản phẩm nghệ thuật của mình hoặc của bạn.</t>
  </si>
  <si>
    <t>Sáng tạo trong hoạt động âm nhạc: Tự sáng tác 1 giai điệu/nhịp gõ ngắn của riêng mình, không chỉ biến tấu từ bài có sẵn.</t>
  </si>
  <si>
    <t>Sáng tạo trong hoạt động tạo hình: Tạo sản phẩm tạo hình có chủ đề rõ ràng do mình tự nghĩ ra trước khi làm, không chỉ làm rồi mới đặt tên.</t>
  </si>
  <si>
    <t>Sáng tạo trong hoạt động kịch/vận động nghệ thuật: Tự xây dựng một đoạn tình huống chơi đóng vai có 2-3 nhân vật với lời thoại do nhóm tự nghĩ ra.</t>
  </si>
  <si>
    <t>•  Trò chơi vận động nhóm nhỏ có luật đơn giản; góc phân vai có phân công vai rõ hơn.</t>
  </si>
  <si>
    <t>•  Góc xây dựng: công trình nhóm 2-3 trẻ, khuyến khích bàn bạc trước khi làm.</t>
  </si>
  <si>
    <t>•  STEAM: thử nghiệm nhóm nhỏ (vật nổi-chìm, nam châm) - dự đoán trước, so sánh kết quả.</t>
  </si>
  <si>
    <t>•  SEL: giới thiệu sở thích trước nhóm; hoạt động cặp đôi chia sẻ vật liệu; bắt đầu ra quyết định đơn giản.</t>
  </si>
  <si>
    <t>•  Ngoài trời: quan sát nhóm nhỏ, khuyến khích mô tả và so sánh với bạn.</t>
  </si>
  <si>
    <t>KẾ HOẠCH GIÁO DỤC NĂM HỌC — MẪU GIÁO LỚN 5-6 TUỔI</t>
  </si>
  <si>
    <t>Mức M - Thành thạo (đối chiếu QĐ 4222)</t>
  </si>
  <si>
    <t>Tư duy trực quan-sơ đồ bắt đầu hình thành; tập trung 15-25 phút; chủ động, tự tin trình bày và bảo vệ ý tưởng; hợp tác nhóm ổn định; sẵn sàng thử-sai-cải tiến theo quy trình; chuẩn bị tâm thế vào lớp 1.</t>
  </si>
  <si>
    <t>II. MỤC TIÊU NĂM HỌC (5 LĨNH VỰC, MỨC M - Thành thạo)</t>
  </si>
  <si>
    <t>Chủ động tham gia hoạt động thể chất: Chủ động, hào hứng, không bỏ cuộc cho đến khi đạt mục tiêu vận động.</t>
  </si>
  <si>
    <t>Thích ứng thay đổi vận động/sinh hoạt: Chủ động đáp ứng khi có thay đổi hoạt động/sinh hoạt; dễ hòa nhập môi trường mới.</t>
  </si>
  <si>
    <t>Vận động thô: Thực hiện vận động di chuyển đa dạng, giữ thăng bằng, phối hợp dụng cụ thuần thục.</t>
  </si>
  <si>
    <t>Vận động tinh: Thao tác vật liệu đa dạng, kiểm soát cơ nhỏ, phối hợp tay-mắt; tự phục vụ thành thạo.</t>
  </si>
  <si>
    <t>Thực hành ăn uống hợp lý: Nhận biết nhóm chất dinh dưỡng; ăn đa dạng, hành vi văn minh trong ăn uống.</t>
  </si>
  <si>
    <t>Chăm sóc sức khỏe, vệ sinh: Chủ động, thuần thục vệ sinh cá nhân; hiểu quan hệ vệ sinh-sức khỏe, nhận ra dấu hiệu bệnh.</t>
  </si>
  <si>
    <t>Đảm bảo an toàn: Nhận ra tình huống nguy hiểm và xử lý phù hợp; không đồng tình hành vi mất an toàn.</t>
  </si>
  <si>
    <t>Nhận biết về bản thân: Tự nhận diện đặc điểm, sở thích, khả năng riêng của mình.</t>
  </si>
  <si>
    <t>Quản lý bản thân: Nhận biết và gọi tên nhiều trạng thái cảm xúc; bước đầu tự điều chỉnh hành vi.</t>
  </si>
  <si>
    <t>Nhận biết mối quan hệ xã hội: Nhận biết và ứng xử phù hợp vị trí trong gia đình/trường/lớp/cộng đồng.</t>
  </si>
  <si>
    <t>Thiết lập và duy trì mối quan hệ xã hội: Chủ động thiết lập quan hệ với bạn mới/người lớn; duy trì quan hệ bạn bè ổn định, biết làm hòa.</t>
  </si>
  <si>
    <t>Thể hiện/chia sẻ cảm xúc: Phản ánh đúng hành động của bản thân, kể lại sự việc và cảm xúc liên quan.</t>
  </si>
  <si>
    <t>Hợp tác: Chia sẻ, giúp đỡ bạn trong hoạt động; chờ đến lượt, phối hợp trong nhóm.</t>
  </si>
  <si>
    <t>Ứng xử phù hợp với hoàn cảnh: Chủ động điều chỉnh hành vi phù hợp hoàn cảnh khác nhau (lớp, nơi công cộng, có khách).</t>
  </si>
  <si>
    <t>Ứng xử thân thiện với môi trường: Chủ động thực hiện và vận động bạn cùng bảo vệ môi trường; đề xuất ý tưởng cải thiện.</t>
  </si>
  <si>
    <t>Lắng nghe và hiểu lời nói: Nghe và nhận ra từng tiếng trong câu 5-7 tiếng; hiểu yêu cầu phức tạp hơn.</t>
  </si>
  <si>
    <t>Diễn đạt bằng lời nói: Nói rõ ràng, đủ ý khi thể hiện ý kiến, nhu cầu, cảm xúc.</t>
  </si>
  <si>
    <t>Ngôn ngữ sáng tạo / sẵn sàng học đọc: Kể về sự vật/hiện tượng hoặc kể lại câu chuyện bằng lời riêng, có sáng tạo.</t>
  </si>
  <si>
    <t>Sẵn sàng học viết: Nhận biết được hầu hết 29 chữ cái qua trò chơi và hoạt động hằng ngày (KHÔNG dạy đọc-viết chính thức như tiểu học); tô đồ và sao chép đúng chữ cái, tên riêng của bản thân; hứng thú tự "đọc" sách tranh theo cách hiểu của mình.</t>
  </si>
  <si>
    <t>Sẵn sàng trải nghiệm, tập trung nhiệm vụ: Thể hiện sự thoải mái, sẵn sàng tham gia trải nghiệm mới; tập trung hoàn thành nhiệm vụ.</t>
  </si>
  <si>
    <t>Chủ động khám phá và giải quyết vấn đề: Chủ động khám phá, thử nghiệm với công nghệ số/STEAM để giải quyết vấn đề.</t>
  </si>
  <si>
    <t>Hiểu biết ban đầu về thế giới xung quanh: Mô tả đặc điểm/tính chất/sự thay đổi của con người, sự vật, hiện tượng xung quanh.</t>
  </si>
  <si>
    <t>Kỹ năng nhận thức (số, đếm, đo, hình, không gian, thời gian): Qua trò chơi và trải nghiệm hằng ngày: đếm đến 10, tách-gộp một nhóm đối tượng trong phạm vi 10 bằng nhiều cách, nhận biết chữ số 1-10 và số thứ tự; đo độ dài/dung tích bằng đơn vị tự chọn (gang tay, cốc, que tính); nhận biết hôm qua - hôm nay - ngày mai, các buổi trong ngày.</t>
  </si>
  <si>
    <t>Giải quyết vấn đề đơn giản: Quan sát, thu thập thông tin để nhận ra vấn đề; tự thực hiện quy trình giải quyết (EDP).</t>
  </si>
  <si>
    <t>Hành động phù hợp với con người/sự vật/môi trường: Tự điều chỉnh hành động phù hợp khi gặp tình huống/môi trường mới lạ; vận dụng an toàn.</t>
  </si>
  <si>
    <t>Cảm thụ vẻ đẹp trong cuộc sống và nghệ thuật: Yêu thích, trân trọng sản phẩm nghệ thuật, cái đẹp trong cuộc sống và truyền thống.</t>
  </si>
  <si>
    <t>Thể hiện ý kiến, cảm nhận về cái đẹp: Thể hiện cảm xúc, bày tỏ ý kiến bằng lời về sản phẩm nghệ thuật.</t>
  </si>
  <si>
    <t>Sáng tạo trong hoạt động âm nhạc: Tạo âm thanh có tính nhạc theo cách khác nhau; sáng tạo trong vận động, giai điệu.</t>
  </si>
  <si>
    <t>Sáng tạo trong hoạt động tạo hình: Tạo ra sản phẩm tạo hình mang dấu ấn cá nhân, có ý tưởng và sáng tạo riêng.</t>
  </si>
  <si>
    <t>Sáng tạo trong hoạt động kịch/vận động nghệ thuật: Chủ động sáng tạo trong hoạt động kịch, vận động minh họa, phối hợp nhóm.</t>
  </si>
  <si>
    <t>•  Dự án STEAM theo quy trình EDP đầy đủ: Hỏi - Tưởng tượng - Lập kế hoạch - Sáng tạo - Chia sẻ/Cải tiến.</t>
  </si>
  <si>
    <t>•  Góc xây dựng/dự án nhóm phức tạp hơn, trẻ tự phân công và giải quyết mâu thuẫn.</t>
  </si>
  <si>
    <t>•  SEL: ra quyết định có trách nhiệm (chọn và bảo vệ lựa chọn); thấu cảm qua thảo luận tình huống.</t>
  </si>
  <si>
    <t>•  Hoạt động chuẩn bị vào lớp 1: làm quen nề nếp học tập, chữ viết, con số ở mức sẵn sàng.</t>
  </si>
  <si>
    <t>•  Trải nghiệm cộng đồng, tham quan thực tế gắn chủ đề quê hương - đất nước.</t>
  </si>
  <si>
    <t>PHIÊN CHẾ 35 TUẦN CHUNG — MẪU GIÁO 3-6 TUỔI</t>
  </si>
  <si>
    <t>Nhịp tuần lấy theo MGB/MGN (đã khớp tự nhiên), gộp tuần dinh dưỡng vào Gia đình, đồng bộ khối Nghề nghiệp (chứa tuần 20/11) cho cả 3 khối. Chủ đề nhánh là GỢI Ý — trường/địa phương có thể điều chỉnh.</t>
  </si>
  <si>
    <t>Giai đoạn</t>
  </si>
  <si>
    <t>Chủ đề nhánh (gợi ý)</t>
  </si>
  <si>
    <t>Trục năng lực</t>
  </si>
  <si>
    <t>3-4 tuổi</t>
  </si>
  <si>
    <t>4-5 tuổi</t>
  </si>
  <si>
    <t>5-6 tuổi</t>
  </si>
  <si>
    <t>Minh chứng</t>
  </si>
  <si>
    <t>Trường mầm non của bé</t>
  </si>
  <si>
    <t>Tự lực, Thích ứng, Giao tiếp, Hợp tác</t>
  </si>
  <si>
    <t>Chủ động tham gia hoạt động thể chất: Hào hứng tham gia khi cô rủ/làm cùng; có thể bỏ giữa chừng nếu mệt/chán.</t>
  </si>
  <si>
    <t>Chủ động tham gia hoạt động thể chất: Chủ động tham gia phần lớn hoạt động, ít cần nhắc; cố gắng hoàn thành khi hơi khó.</t>
  </si>
  <si>
    <t>Lớp học của bé</t>
  </si>
  <si>
    <t>Cơ thể của bé</t>
  </si>
  <si>
    <t>Tự lực, Giải quyết vấn đề</t>
  </si>
  <si>
    <t>Vận động thô: Đi/chạy đường ngắn có cô cầm tay; giữ thăng bằng 1-2 giây có đỡ.</t>
  </si>
  <si>
    <t>Vận động thô: Đi/chạy/bò/ném khá thành thạo với khoảng cách trung bình, ít cần hỗ trợ.</t>
  </si>
  <si>
    <t>Bé cần gì để khỏe mạnh</t>
  </si>
  <si>
    <t>Thực hành ăn uống hợp lý: Gọi tên 1-2 món quen thuộc; bắt đầu tự xúc ăn, cần hỗ trợ một phần.</t>
  </si>
  <si>
    <t>Thực hành ăn uống hợp lý: Kể tên nhiều loại thực phẩm; ăn đa dạng hơn, ít kén chọn.</t>
  </si>
  <si>
    <t>Cảm xúc của bé</t>
  </si>
  <si>
    <t>Tự lực, Thích ứng, Giao tiếp</t>
  </si>
  <si>
    <t>Quản lý bản thân: Nhận biết 1-2 cảm xúc cơ bản (vui/buồn) qua tranh khi cô chỉ.</t>
  </si>
  <si>
    <t>Quản lý bản thân: Gọi tên được nhiều cảm xúc hơn; bắt đầu tự điều chỉnh khi được nhắc.</t>
  </si>
  <si>
    <t>Những người thân trong gia đình</t>
  </si>
  <si>
    <t>Tự lực, Giao tiếp, Hợp tác</t>
  </si>
  <si>
    <t>Nhận biết về bản thân: Nói tên, tuổi, giới tính khi được hỏi trực tiếp.</t>
  </si>
  <si>
    <t>Nhận biết về bản thân: Kể được sở thích, khả năng đơn giản của bản thân.</t>
  </si>
  <si>
    <t>Gia đình yêu thương (gồm dinh dưỡng, chăm sóc)</t>
  </si>
  <si>
    <t>Ngôi nhà của bé</t>
  </si>
  <si>
    <t>Đồ dùng trong gia đình</t>
  </si>
  <si>
    <t>Hiểu biết ban đầu về thế giới xung quanh: Gọi tên 1-2 đặc điểm nổi bật của sự vật quen thuộc.</t>
  </si>
  <si>
    <t>Hiểu biết ban đầu về thế giới xung quanh: Mô tả một vài đặc điểm/thay đổi đơn giản của sự vật, hiện tượng.</t>
  </si>
  <si>
    <t>Bữa ăn và giấc ngủ của bé</t>
  </si>
  <si>
    <t>Nghề của bố, của mẹ</t>
  </si>
  <si>
    <t>Nhận biết mối quan hệ xã hội: Nhận biết người thân trong gia đình qua hình ảnh.</t>
  </si>
  <si>
    <t>Nhận biết mối quan hệ xã hội: Nhận biết vai trò của một số người xung quanh (cô giáo, bạn bè).</t>
  </si>
  <si>
    <t>Cô giáo của bé (20/11)</t>
  </si>
  <si>
    <t>Một số nghề trong xã hội</t>
  </si>
  <si>
    <t>Vật nuôi trong gia đình</t>
  </si>
  <si>
    <t>Chủ động khám phá và giải quyết vấn đề: Khám phá đồ vật đơn giản khi có cô cùng làm.</t>
  </si>
  <si>
    <t>Chủ động khám phá và giải quyết vấn đề: Chủ động khám phá đồ vật/hiện tượng quen thuộc, thử vài cách đơn giản.</t>
  </si>
  <si>
    <t>Động vật sống trong rừng</t>
  </si>
  <si>
    <t>Giải quyết vấn đề, Giao tiếp</t>
  </si>
  <si>
    <t>Động vật sống dưới nước</t>
  </si>
  <si>
    <t>Côn trùng và các loài chim</t>
  </si>
  <si>
    <t>Bé yêu động vật</t>
  </si>
  <si>
    <t>Giải quyết vấn đề, Thích ứng, Giao tiếp</t>
  </si>
  <si>
    <t>Ứng xử thân thiện với môi trường: Làm theo khi cô hướng dẫn nhặt rác/tưới cây.</t>
  </si>
  <si>
    <t>Ứng xử thân thiện với môi trường: Tự thực hiện một số hành vi bảo vệ môi trường quen thuộc.</t>
  </si>
  <si>
    <t>Một số loại cây</t>
  </si>
  <si>
    <t>Một số loại hoa</t>
  </si>
  <si>
    <t>Một số loại quả</t>
  </si>
  <si>
    <t>Kỹ năng nhận thức (số, đếm, đo, hình, không gian, thời gian): Đếm theo cô đến 2-3, nhận biết to-nhỏ đơn giản.</t>
  </si>
  <si>
    <t>Kỹ năng nhận thức (số, đếm, đo, hình, không gian, thời gian): Đếm đến 5, so sánh số lượng, nhận biết hình cơ bản.</t>
  </si>
  <si>
    <t>Kỹ năng nhận thức (số, đếm, đo, hình, không gian, thời gian): Đếm, tách-gộp, thêm-bớt, xác định số thứ tự; đo lường, nhận biết không gian-thời gian.</t>
  </si>
  <si>
    <t>Rau củ bé yêu thích</t>
  </si>
  <si>
    <t>Tự lực, Giải quyết vấn đề, Giao tiếp</t>
  </si>
  <si>
    <t>Tết của bé</t>
  </si>
  <si>
    <t>Phương tiện giao thông đường bộ</t>
  </si>
  <si>
    <t>Bé tham gia giao thông an toàn</t>
  </si>
  <si>
    <t>Giải quyết vấn đề, Tự lực, Thích ứng</t>
  </si>
  <si>
    <t>Đảm bảo an toàn: Nhận biết 1 vật nguy hiểm quen thuộc qua tranh khi cô chỉ nhiều lần.</t>
  </si>
  <si>
    <t>Đảm bảo an toàn: Nhận biết một số tình huống nguy hiểm; dừng lại khi được nhắc.</t>
  </si>
  <si>
    <t>Vận dụng/Thành thạo</t>
  </si>
  <si>
    <t>Nước kỳ diệu</t>
  </si>
  <si>
    <t>Mùa và thời tiết</t>
  </si>
  <si>
    <t>Ngày và đêm của bé</t>
  </si>
  <si>
    <t>Giải quyết vấn đề, Tự lực, Giao tiếp</t>
  </si>
  <si>
    <t>Xóm làng/phố nơi bé sống</t>
  </si>
  <si>
    <t>Giao tiếp, Hợp tác, Giải quyết vấn đề</t>
  </si>
  <si>
    <t>Cảnh đẹp Tuyên Quang</t>
  </si>
  <si>
    <t>Lễ hội quê hương</t>
  </si>
  <si>
    <t>Bé yêu Tổ quốc Việt Nam</t>
  </si>
  <si>
    <t>Thủ đô Hà Nội</t>
  </si>
  <si>
    <t>Bác Hồ của em</t>
  </si>
  <si>
    <t>Thể hiện/chia sẻ cảm xúc: Thể hiện cảm xúc qua nét mặt, hành động đơn giản.</t>
  </si>
  <si>
    <t>Thể hiện/chia sẻ cảm xúc: Kể lại được cảm xúc của mình bằng lời khi được gợi ý.</t>
  </si>
  <si>
    <t>Bé lớn lên mỗi ngày</t>
  </si>
  <si>
    <t>Mùa hè vui của bé</t>
  </si>
  <si>
    <t>NGÂN HÀNG HOẠT ĐỘNG — MẪU GIÁO 3-6 TUỔI (30 HOẠT ĐỘNG MẪU)</t>
  </si>
  <si>
    <t>10 chủ đề chung × 3 độ tuổi để thấy rõ tiến trình I→R→M. Mỗi hoạt động tích hợp LINH HOẠT ít nhất 2-3 lĩnh vực (xem cột Lĩnh vực tích hợp thêm) — KHÔNG tổ chức cứng theo 5 môn riêng biệt. Trẻ được lựa chọn cách làm, KHÔNG yêu cầu sản phẩm giống nhau hay giống mẫu của cô. Dùng Filter trên dòng tiêu đề để lọc theo Độ tuổi/Lĩnh vực.</t>
  </si>
  <si>
    <t>Mã HĐ</t>
  </si>
  <si>
    <t>Độ tuổi</t>
  </si>
  <si>
    <t>Chủ đề/Chủ đề nhánh</t>
  </si>
  <si>
    <t>Lĩnh vực chính</t>
  </si>
  <si>
    <t>Lĩnh vực tích hợp thêm</t>
  </si>
  <si>
    <t>Năng lực lĩnh vực</t>
  </si>
  <si>
    <t>Phẩm chất liên quan</t>
  </si>
  <si>
    <t>Năng lực nền tảng</t>
  </si>
  <si>
    <t>Mục tiêu quan sát được</t>
  </si>
  <si>
    <t>Chuẩn bị môi trường, học liệu</t>
  </si>
  <si>
    <t>Tiến trình tổ chức</t>
  </si>
  <si>
    <t>Câu hỏi gợi mở của GV</t>
  </si>
  <si>
    <t>Biểu hiện mong đợi</t>
  </si>
  <si>
    <t>Minh chứng đánh giá</t>
  </si>
  <si>
    <t>Điều chỉnh hòa nhập / hỗ trợ đặc biệt</t>
  </si>
  <si>
    <t>Mở rộng cho trẻ khá hơn</t>
  </si>
  <si>
    <t>MGB-HĐ01</t>
  </si>
  <si>
    <t>3-4 tuổi (MGB)</t>
  </si>
  <si>
    <t>Trường mầm non - Lớp học của bé / Bé và bạn mới</t>
  </si>
  <si>
    <t>Ngôn ngữ, Nghệ thuật</t>
  </si>
  <si>
    <t>TX4 - Thiết lập và duy trì mối quan hệ xã hội</t>
  </si>
  <si>
    <t>Chơi cạnh bạn, bắt đầu làm quen khi có cô hỗ trợ giới thiệu.</t>
  </si>
  <si>
    <t>Đồ dùng cỡ lớn, dễ cầm nắm; không gian rộng, an toàn; hình ảnh/đồ vật thật quen thuộc.</t>
  </si>
  <si>
    <t>1) Cô giới thiệu, làm mẫu trực tiếp. 2) Trẻ làm cùng cô, được hỗ trợ cầm tay/hướng dẫn từng bước. 3) Lặp lại 2-3 lần trong tuần để hình thành thói quen. 4) Cô khen ngợi, động viên khi trẻ cố gắng.</t>
  </si>
  <si>
    <t>Con thấy gì? Đây là cái gì? Con có muốn thử không?</t>
  </si>
  <si>
    <t>Trẻ tham gia khi được cô rủ/làm cùng; chơi cạnh bạn, bắt đầu làm quen khi có c...</t>
  </si>
  <si>
    <t>Cô làm cùng 1-1, chia nhỏ thao tác, tăng thời gian chờ, dùng đồ vật quen thuộc hơn.</t>
  </si>
  <si>
    <t>Khuyến khích trẻ tự làm 1 bước nhỏ không cần cô cầm tay, khen khi trẻ tự thử.</t>
  </si>
  <si>
    <t>MGB-HĐ02</t>
  </si>
  <si>
    <t>Bé là ai - Cơ thể và giác quan / Khám phá cơ thể bé</t>
  </si>
  <si>
    <t>Nhận thức, Ngôn ngữ</t>
  </si>
  <si>
    <t>TC3 - Vận động thô</t>
  </si>
  <si>
    <t>Đi/chạy đường ngắn có cô cầm tay; giữ thăng bằng 1-2 giây có đỡ.</t>
  </si>
  <si>
    <t>Trẻ tham gia khi được cô rủ/làm cùng; đi/chạy đường ngắn có cô cầm tay; giữ th...</t>
  </si>
  <si>
    <t>MGB-HĐ03</t>
  </si>
  <si>
    <t>Gia đình yêu thương / Người thân trong gia đình</t>
  </si>
  <si>
    <t>TX3 - Nhận biết mối quan hệ xã hội</t>
  </si>
  <si>
    <t>Nhận biết người thân trong gia đình qua hình ảnh.</t>
  </si>
  <si>
    <t>Trẻ tham gia khi được cô rủ/làm cùng; nhận biết người thân trong gia đình qua ...</t>
  </si>
  <si>
    <t>MGB-HĐ04</t>
  </si>
  <si>
    <t>Gia đình yêu thương (dinh dưỡng) / Bữa ăn của bé</t>
  </si>
  <si>
    <t>Nhận thức, Tình cảm - xã hội</t>
  </si>
  <si>
    <t>TC5 - Thực hành ăn uống hợp lý</t>
  </si>
  <si>
    <t>Gọi tên 1-2 món quen thuộc; bắt đầu tự xúc ăn, cần hỗ trợ một phần.</t>
  </si>
  <si>
    <t>Trẻ tham gia khi được cô rủ/làm cùng; gọi tên 1-2 món quen thuộc; bắt đầu tự x...</t>
  </si>
  <si>
    <t>MGB-HĐ05</t>
  </si>
  <si>
    <t>Nghề nghiệp quen thuộc / Nghề của người thân</t>
  </si>
  <si>
    <t>Tình cảm - xã hội, Nghệ thuật</t>
  </si>
  <si>
    <t>NN2 - Diễn đạt bằng lời nói</t>
  </si>
  <si>
    <t>Nói câu ngắn 2-3 từ để nêu nhu cầu.</t>
  </si>
  <si>
    <t>Trẻ tham gia khi được cô rủ/làm cùng; nói câu ngắn 2-3 từ để nêu nhu cầu....</t>
  </si>
  <si>
    <t>MGB-HĐ06</t>
  </si>
  <si>
    <t>Thế giới động vật / Vật nuôi trong nhà</t>
  </si>
  <si>
    <t>NT3 - Hiểu biết ban đầu về thế giới xung quanh</t>
  </si>
  <si>
    <t>Gọi tên 1-2 đặc điểm nổi bật của sự vật quen thuộc.</t>
  </si>
  <si>
    <t>Trẻ tham gia khi được cô rủ/làm cùng; gọi tên 1-2 đặc điểm nổi bật của sự vật ...</t>
  </si>
  <si>
    <t>MGB-HĐ07</t>
  </si>
  <si>
    <t>Thế giới thực vật / Cây lớn lên thế nào</t>
  </si>
  <si>
    <t>Thể chất, Nhận thức</t>
  </si>
  <si>
    <t>NT5 - Giải quyết vấn đề đơn giản</t>
  </si>
  <si>
    <t>Nhận biết có vấn đề cần giải quyết khi cô gợi ý (đồ chơi rơi...).</t>
  </si>
  <si>
    <t>Trẻ tham gia khi được cô rủ/làm cùng; nhận biết có vấn đề cần giải quyết khi c...</t>
  </si>
  <si>
    <t>MGB-HĐ08</t>
  </si>
  <si>
    <t>Giao thông / Phương tiện giao thông quanh bé</t>
  </si>
  <si>
    <t>TX7 - Ứng xử phù hợp với hoàn cảnh</t>
  </si>
  <si>
    <t>Làm theo hướng dẫn đơn giản của cô trong sinh hoạt quen thuộc.</t>
  </si>
  <si>
    <t>Trẻ tham gia khi được cô rủ/làm cùng; làm theo hướng dẫn đơn giản của cô trong...</t>
  </si>
  <si>
    <t>MGB-HĐ09</t>
  </si>
  <si>
    <t>Nước và hiện tượng tự nhiên / Bí mật của nước</t>
  </si>
  <si>
    <t>Thể chất, Nghệ thuật</t>
  </si>
  <si>
    <t>NT2 - Chủ động khám phá và giải quyết vấn đề</t>
  </si>
  <si>
    <t>Khám phá đồ vật đơn giản khi có cô cùng làm.</t>
  </si>
  <si>
    <t>Trẻ tham gia khi được cô rủ/làm cùng; khám phá đồ vật đơn giản khi có cô cùng ...</t>
  </si>
  <si>
    <t>MGB-HĐ10</t>
  </si>
  <si>
    <t>Quê hương - Đất nước - Bác Hồ / Quê hương của bé</t>
  </si>
  <si>
    <t>Ngôn ngữ, Tình cảm - xã hội</t>
  </si>
  <si>
    <t>NgT1 - Cảm thụ vẻ đẹp trong cuộc sống và nghệ thuật</t>
  </si>
  <si>
    <t>Chú ý, tỏ thích thú trước cái đẹp khi cô chỉ ra.</t>
  </si>
  <si>
    <t>Trẻ tham gia khi được cô rủ/làm cùng; chú ý, tỏ thích thú trước cái đẹp khi cô...</t>
  </si>
  <si>
    <t>MGN-HĐ01</t>
  </si>
  <si>
    <t>4-5 tuổi (MGN)</t>
  </si>
  <si>
    <t>Chủ động rủ bạn chơi cùng; duy trì chơi nhóm nhỏ trong thời gian ngắn.</t>
  </si>
  <si>
    <t>Đồ dùng đa dạng hơn, đủ cho nhóm nhỏ 2-4 trẻ dùng chung; góc hoạt động có khay vật liệu.</t>
  </si>
  <si>
    <t>1) Cô gợi mở bằng câu hỏi, giới thiệu nhiệm vụ nhóm nhỏ. 2) Trẻ tự thực hiện theo nhóm 2-4 bạn, cô quan sát và gợi ý khi cần. 3) Nhóm chia sẻ lại điều đã làm/thấy. 4) Cô tổng kết, khen các biểu hiện hợp tác.</t>
  </si>
  <si>
    <t>Nhóm con định làm gì? Vì sao con nghĩ vậy? Con và bạn chia việc thế nào?</t>
  </si>
  <si>
    <t>Trẻ chủ động tham gia nhóm nhỏ; chủ động rủ bạn chơi cùng; duy trì chơi nhóm nhỏ t...</t>
  </si>
  <si>
    <t>Ghép cùng bạn tự tin hơn, cô gợi ý câu hỏi đơn giản hơn, rút ngắn nhiệm vụ.</t>
  </si>
  <si>
    <t>Giao thêm vai trò trưởng nhóm nhỏ, khuyến khích tự đặt thêm câu hỏi khám phá.</t>
  </si>
  <si>
    <t>MGN-HĐ02</t>
  </si>
  <si>
    <t>Đi/chạy/bò/ném khá thành thạo với khoảng cách trung bình, ít cần hỗ trợ.</t>
  </si>
  <si>
    <t>Trẻ chủ động tham gia nhóm nhỏ; đi/chạy/bò/ném khá thành thạo với khoảng cách trun...</t>
  </si>
  <si>
    <t>MGN-HĐ03</t>
  </si>
  <si>
    <t>Nhận biết vai trò của một số người xung quanh (cô giáo, bạn bè).</t>
  </si>
  <si>
    <t>Trẻ chủ động tham gia nhóm nhỏ; nhận biết vai trò của một số người xung quanh (cô ...</t>
  </si>
  <si>
    <t>MGN-HĐ04</t>
  </si>
  <si>
    <t>Kể tên nhiều loại thực phẩm; ăn đa dạng hơn, ít kén chọn.</t>
  </si>
  <si>
    <t>Trẻ chủ động tham gia nhóm nhỏ; kể tên nhiều loại thực phẩm; ăn đa dạng hơn, ít ké...</t>
  </si>
  <si>
    <t>MGN-HĐ05</t>
  </si>
  <si>
    <t>Nói câu đủ thành phần, kể lại việc đơn giản.</t>
  </si>
  <si>
    <t>Trẻ chủ động tham gia nhóm nhỏ; nói câu đủ thành phần, kể lại việc đơn giản....</t>
  </si>
  <si>
    <t>MGN-HĐ06</t>
  </si>
  <si>
    <t>Mô tả một vài đặc điểm/thay đổi đơn giản của sự vật, hiện tượng.</t>
  </si>
  <si>
    <t>Trẻ chủ động tham gia nhóm nhỏ; mô tả một vài đặc điểm/thay đổi đơn giản của sự vậ...</t>
  </si>
  <si>
    <t>MGN-HĐ07</t>
  </si>
  <si>
    <t>Thử 1-2 cách giải quyết đơn giản, cần gợi ý của cô.</t>
  </si>
  <si>
    <t>Trẻ chủ động tham gia nhóm nhỏ; thử 1-2 cách giải quyết đơn giản, cần gợi ý của cô...</t>
  </si>
  <si>
    <t>MGN-HĐ08</t>
  </si>
  <si>
    <t>Ứng xử phù hợp hơn ở lớp học; còn lúng túng ở nơi lạ.</t>
  </si>
  <si>
    <t>Trẻ chủ động tham gia nhóm nhỏ; ứng xử phù hợp hơn ở lớp học; còn lúng túng ở nơi ...</t>
  </si>
  <si>
    <t>MGN-HĐ09</t>
  </si>
  <si>
    <t>Chủ động khám phá đồ vật/hiện tượng quen thuộc, thử vài cách đơn giản.</t>
  </si>
  <si>
    <t>Trẻ chủ động tham gia nhóm nhỏ; chủ động khám phá đồ vật/hiện tượng quen thuộc, th...</t>
  </si>
  <si>
    <t>MGN-HĐ10</t>
  </si>
  <si>
    <t>Chủ động chỉ ra điều mình thấy đẹp trong tranh/thiên nhiên.</t>
  </si>
  <si>
    <t>Trẻ chủ động tham gia nhóm nhỏ; chủ động chỉ ra điều mình thấy đẹp trong tranh/thi...</t>
  </si>
  <si>
    <t>MGL-HĐ01</t>
  </si>
  <si>
    <t>5-6 tuổi (MGL)</t>
  </si>
  <si>
    <t>Học liệu mở, nhiều lựa chọn; góc trải nghiệm/dự án; dụng cụ ghi chép đơn giản (giấy, bút).</t>
  </si>
  <si>
    <t>1) HỎI: trẻ tự nêu vấn đề/câu hỏi muốn khám phá. 2) TƯỞNG TƯỢNG - LẬP KẾ HOẠCH: nhóm bàn cách thực hiện, phân công vai trò. 3) SÁNG TẠO: tự thực hiện, cô chỉ hỗ trợ khi được yêu cầu. 4) CHIA SẺ - CẢI TIẾN: trình bày sản phẩm, nhận góp ý và điều chỉnh.</t>
  </si>
  <si>
    <t>Vì sao con chọn cách này? Nếu làm lại con sẽ thay đổi gì? Điều gì con tự hào nhất?</t>
  </si>
  <si>
    <t>Trẻ chủ động, tự tin trình bày và bảo vệ ý tưởng; chủ động thiết lập quan hệ với bạn mới/người lớn; ...</t>
  </si>
  <si>
    <t>Chia nhỏ vấn đề thành các bước rõ ràng hơn, ghép nhóm hỗ trợ, cô đặt câu hỏi dẫn dắt nhiều hơn.</t>
  </si>
  <si>
    <t>Khuyến khích mở rộng dự án, kết nối với chủ đề khác, tự thiết kế thêm biến thể sáng tạo.</t>
  </si>
  <si>
    <t>MGL-HĐ02</t>
  </si>
  <si>
    <t>Trẻ chủ động, tự tin trình bày và bảo vệ ý tưởng; thực hiện vận động di chuyển đa dạng, giữ thăng bằ...</t>
  </si>
  <si>
    <t>MGL-HĐ03</t>
  </si>
  <si>
    <t>Trẻ chủ động, tự tin trình bày và bảo vệ ý tưởng; nhận biết và ứng xử phù hợp vị trí trong gia đình/...</t>
  </si>
  <si>
    <t>MGL-HĐ04</t>
  </si>
  <si>
    <t>Trẻ chủ động, tự tin trình bày và bảo vệ ý tưởng; nhận biết nhóm chất dinh dưỡng; ăn đa dạng, hành v...</t>
  </si>
  <si>
    <t>MGL-HĐ05</t>
  </si>
  <si>
    <t>Trẻ chủ động, tự tin trình bày và bảo vệ ý tưởng; nói rõ ràng, đủ ý khi thể hiện ý kiến, nhu cầu, cả...</t>
  </si>
  <si>
    <t>MGL-HĐ06</t>
  </si>
  <si>
    <t>Trẻ chủ động, tự tin trình bày và bảo vệ ý tưởng; mô tả đặc điểm/tính chất/sự thay đổi của con người...</t>
  </si>
  <si>
    <t>MGL-HĐ07</t>
  </si>
  <si>
    <t>Trẻ chủ động, tự tin trình bày và bảo vệ ý tưởng; quan sát, thu thập thông tin để nhận ra vấn đề; tự...</t>
  </si>
  <si>
    <t>MGL-HĐ08</t>
  </si>
  <si>
    <t>Trẻ chủ động, tự tin trình bày và bảo vệ ý tưởng; chủ động điều chỉnh hành vi phù hợp hoàn cảnh khác...</t>
  </si>
  <si>
    <t>MGL-HĐ09</t>
  </si>
  <si>
    <t>Trẻ chủ động, tự tin trình bày và bảo vệ ý tưởng; chủ động khám phá, thử nghiệm với công nghệ số/ste...</t>
  </si>
  <si>
    <t>MGL-HĐ10</t>
  </si>
  <si>
    <t>Trẻ chủ động, tự tin trình bày và bảo vệ ý tưởng; yêu thích, trân trọng sản phẩm nghệ thuật, cái đẹp...</t>
  </si>
  <si>
    <t>NGÂN HÀNG HỌC LIỆU — MẪU GIÁO 3-6 TUỔI</t>
  </si>
  <si>
    <t>Danh mục học liệu/đồ dùng theo 10 chủ đề chung, ưu tiên học liệu mở, tái chế, gắn địa phương. Dùng Filter để lọc theo Nguồn gốc khi cần chuẩn bị/mua sắm.</t>
  </si>
  <si>
    <t>Học liệu / Đồ dùng</t>
  </si>
  <si>
    <t>Nguồn gốc</t>
  </si>
  <si>
    <t>Độ tuổi phù hợp</t>
  </si>
  <si>
    <t>Ghi chú sử dụng</t>
  </si>
  <si>
    <t>Khối gỗ/nhựa cỡ lớn, đồ chơi góc phân vai (bát, thìa nhựa)</t>
  </si>
  <si>
    <t>Mua sẵn</t>
  </si>
  <si>
    <t>Cả 3 độ tuổi</t>
  </si>
  <si>
    <t>Chọn kích thước lớn cho MGB, chi tiết hơn cho MGN/MGL</t>
  </si>
  <si>
    <t>Gương soi an toàn, tranh sơ đồ cơ thể, hộp cảm giác (mùi/vị)</t>
  </si>
  <si>
    <t>Mua sẵn + tự làm</t>
  </si>
  <si>
    <t>Hộp cảm giác tự làm từ hộp giấy, vải vụn</t>
  </si>
  <si>
    <t>Gia đình yêu thương</t>
  </si>
  <si>
    <t>Ảnh gia đình trẻ mang từ nhà, đồ chơi nấu ăn, mô hình nhà</t>
  </si>
  <si>
    <t>Từ gia đình + mua sẵn</t>
  </si>
  <si>
    <t>Khuyến khích phụ huynh gửi ảnh thật</t>
  </si>
  <si>
    <t>Nghề nghiệp quen thuộc</t>
  </si>
  <si>
    <t>Trang phục hóa trang nghề (mũ bác sĩ, mũ bảo hộ), dụng cụ mô phỏng</t>
  </si>
  <si>
    <t>Mua sẵn + tái chế</t>
  </si>
  <si>
    <t>Có thể mượn từ phụ huynh làm nghề liên quan</t>
  </si>
  <si>
    <t>Mô hình con vật, tranh ảnh, thức ăn giả cho vật nuôi lớp</t>
  </si>
  <si>
    <t>Ưu tiên vật nuôi thật ở góc thiên nhiên nếu điều kiện cho phép</t>
  </si>
  <si>
    <t>Thế giới thực vật - Tết</t>
  </si>
  <si>
    <t>Hạt giống, chậu nhỏ, dụng cụ làm đồ trang trí Tết địa phương</t>
  </si>
  <si>
    <t>Tự nhiên + địa phương</t>
  </si>
  <si>
    <t>Gắn đặc sản/phong tục địa phương (VD: hoa đào Tuyên Quang)</t>
  </si>
  <si>
    <t>Mô hình xe, biển báo tự làm, thùng carton làm ô tô/thuyền</t>
  </si>
  <si>
    <t>Thùng carton tái chế phù hợp hoạt động STEAM</t>
  </si>
  <si>
    <t>Chậu nước, vật nổi/chìm (nút chai, đá, bóng), cốc đo</t>
  </si>
  <si>
    <t>Tự nhiên + tái chế</t>
  </si>
  <si>
    <t>An toàn: luôn có GV giám sát khi chơi với nước</t>
  </si>
  <si>
    <t>Tranh ảnh danh lam địa phương, cờ Tổ quốc, ảnh Bác Hồ</t>
  </si>
  <si>
    <t>Mua sẵn + địa phương</t>
  </si>
  <si>
    <t>Liên hệ di tích/danh lam có thật tại địa phương trường đóng</t>
  </si>
  <si>
    <t>Bé lớn lên - Mùa hè vui</t>
  </si>
  <si>
    <t>Album ảnh cả năm, sản phẩm lưu giữ, dụng cụ vận động ngoài trời hè</t>
  </si>
  <si>
    <t>Tự làm từ Portfolio</t>
  </si>
  <si>
    <t>Dùng chính dữ liệu từ sheet PORTFOLIO để làm album tổng kết</t>
  </si>
  <si>
    <t>RUBRIC ĐÁNH GIÁ NĂNG LỰC — MẪU GIÁO 3-6 TUỔI</t>
  </si>
  <si>
    <t>Thang 3 mức: I - Khởi đầu · H - Hình thành · V - Vững chắc · X = Chưa có cơ hội quan sát (không suy diễn).</t>
  </si>
  <si>
    <t>⚠ DÙNG ĐỂ HỖ TRỢ GIÁO VIÊN QUAN SÁT VÀ ĐIỀU CHỈNH HOẠT ĐỘNG — TUYỆT ĐỐI KHÔNG XẾP LOẠI, SO SÁNH TRẺ.</t>
  </si>
  <si>
    <t>Biểu hiện I</t>
  </si>
  <si>
    <t>Biểu hiện H</t>
  </si>
  <si>
    <t>Biểu hiện V</t>
  </si>
  <si>
    <t>Hướng hỗ trợ tiếp theo</t>
  </si>
  <si>
    <t>Rủ tham gia cùng nhóm nhỏ trẻ hào hứng; chia nhỏ bài tập vận động, tăng dần thời lượng.</t>
  </si>
  <si>
    <t>Báo trước thay đổi bằng hình ảnh/lời nói; cho làm quen dần với môi trường mới trước khi tham gia đông.</t>
  </si>
  <si>
    <t>Chia nhỏ động tác, tăng dần khoảng cách/độ khó; luyện tập lặp lại ở góc vận động.</t>
  </si>
  <si>
    <t>Chọn vật liệu to hơn, dễ thao tác hơn; luyện từng thao tác nhỏ trước khi ghép chuỗi.</t>
  </si>
  <si>
    <t>Giới thiệu món mới với lượng rất nhỏ; cho ngồi cùng bạn ăn tốt để bắt chước.</t>
  </si>
  <si>
    <t>Dùng bài hát/hình ảnh các bước quen thuộc; nhắc nhẹ đúng thời điểm, giảm dần theo thời gian.</t>
  </si>
  <si>
    <t>Lặp lại tình huống nguy hiểm qua tranh nhiều lần; luôn có người lớn giám sát khi thực hành.</t>
  </si>
  <si>
    <t>Tăng thời gian trò chuyện 1-1; dùng ảnh/gương để trẻ tự nhận diện bản thân dễ hơn.</t>
  </si>
  <si>
    <t>Dùng thẻ cảm xúc trực quan; đặt tên cảm xúc thay trẻ trước khi yêu cầu trẻ tự gọi tên.</t>
  </si>
  <si>
    <t>Đóng vai lặp lại các mối quan hệ quen thuộc; dùng ảnh gia đình/lớp học làm giáo cụ.</t>
  </si>
  <si>
    <t>Ghép cặp với 1 bạn thân trước, mở rộng nhóm dần; cô làm cầu nối giới thiệu ban đầu.</t>
  </si>
  <si>
    <t>Hỏi câu hỏi đóng trước (có/không), chuyển dần sang câu hỏi mở khi trẻ tự tin hơn.</t>
  </si>
  <si>
    <t>Giao nhiệm vụ 2 trẻ dùng chung 1 đồ vật để buộc phải chia sẻ có hỗ trợ.</t>
  </si>
  <si>
    <t>Thực hành trước tình huống mới bằng đóng vai giả định tại lớp trước khi ra thực tế.</t>
  </si>
  <si>
    <t>Giao việc nhỏ cụ thể (tưới 1 cây), tăng dần phạm vi trách nhiệm.</t>
  </si>
  <si>
    <t>Rút ngắn số yêu cầu liên tiếp, nói chậm rõ, kết hợp cử chỉ minh họa.</t>
  </si>
  <si>
    <t>Đặt câu hỏi gợi mở từng phần câu trả lời; mở rộng dần độ dài câu nói.</t>
  </si>
  <si>
    <t>Cho nghe lại truyện nhiều lần, hỏi từng chi tiết nhỏ trước khi yêu cầu kể lại toàn bộ.</t>
  </si>
  <si>
    <t>Cho tô đồ nét lớn trước, giảm dần kích thước; cầm tay hướng dẫn ban đầu.</t>
  </si>
  <si>
    <t>Rút ngắn thời lượng nhiệm vụ, tăng dần; chọn hoạt động đúng sở thích để giữ hứng thú.</t>
  </si>
  <si>
    <t>Làm mẫu 1 cách trước, để trẻ thử lặp lại, sau đó khuyến khích thử cách khác.</t>
  </si>
  <si>
    <t>Tăng số lần quan sát trực tiếp; dùng câu hỏi so sánh đơn giản (giống/khác).</t>
  </si>
  <si>
    <t>Giảm phạm vi số lượng, dùng vật thật để đếm; tăng dần độ khó khi trẻ vững.</t>
  </si>
  <si>
    <t>Đặt câu hỏi dẫn dắt từng bước nhỏ thay vì để trẻ tự tìm cách ngay từ đầu.</t>
  </si>
  <si>
    <t>Diễn tập tình huống quen thuộc trước, sau đó đưa dần yếu tố mới lạ.</t>
  </si>
  <si>
    <t>Tăng cơ hội tiếp xúc cái đẹp đa dạng (tranh, nhạc, thiên nhiên) hằng ngày.</t>
  </si>
  <si>
    <t>Hỏi câu hỏi đơn giản (đẹp/không đẹp) trước, mở rộng dần sang vì sao.</t>
  </si>
  <si>
    <t>Cho nghe/gõ theo mẫu nhiều lần trước khi khuyến khích tự sáng tạo biến tấu.</t>
  </si>
  <si>
    <t>Cung cấp mẫu tham khảo không bắt buộc theo; khen mọi nỗ lực sáng tạo dù nhỏ.</t>
  </si>
  <si>
    <t>Cho quan sát bạn khác đóng vai trước; giao vai đơn giản, ít lời thoại ban đầu.</t>
  </si>
  <si>
    <t>BẢNG KIỂM LỚP — MẪU GIÁO 3-6 TUỔI (THEO THÁNG / CHỦ ĐỀ)</t>
  </si>
  <si>
    <t>Lớp: ................  Độ tuổi: ................  Tháng/Chủ đề: ................  Điền mã năng lực trọng tâm (lấy từ PHIENCHE, cột Trục năng lực) vào dòng tiêu đề Mã 1...Mã 10.</t>
  </si>
  <si>
    <t>Ký hiệu: I = Khởi đầu · H = Hình thành · V = Vững chắc · X = Chưa có cơ hội quan sát. KHÔNG dùng bảng này để xếp loại hay so sánh trẻ.</t>
  </si>
  <si>
    <t>Họ và tên trẻ</t>
  </si>
  <si>
    <t>Giới tính</t>
  </si>
  <si>
    <t>Ngày sinh</t>
  </si>
  <si>
    <t>Ghi chú hỗ trợ đặc biệt</t>
  </si>
  <si>
    <t>Mã 1</t>
  </si>
  <si>
    <t>Mã 2</t>
  </si>
  <si>
    <t>Mã 3</t>
  </si>
  <si>
    <t>Mã 4</t>
  </si>
  <si>
    <t>Mã 5</t>
  </si>
  <si>
    <t>Mã 6</t>
  </si>
  <si>
    <t>Mã 7</t>
  </si>
  <si>
    <t>Mã 8</t>
  </si>
  <si>
    <t>Mã 9</t>
  </si>
  <si>
    <t>Mã 10</t>
  </si>
  <si>
    <t>Tổng mức I</t>
  </si>
  <si>
    <t>Tổng mức H</t>
  </si>
  <si>
    <t>Tổng mức V</t>
  </si>
  <si>
    <t>Số mã đã quan sát</t>
  </si>
  <si>
    <t>Đề xuất hỗ trợ tiếp theo</t>
  </si>
  <si>
    <t>TỔNG HỢP CẢ LỚP THEO TỪNG MÃ:</t>
  </si>
  <si>
    <t>Số trẻ mức V</t>
  </si>
  <si>
    <t>Số trẻ mức H</t>
  </si>
  <si>
    <t>Số trẻ mức I</t>
  </si>
  <si>
    <t>Số trẻ chưa quan sát (X)</t>
  </si>
  <si>
    <t>HƯỚNG DẪN SỬ DỤNG VÀ CÔNG THỨC EXCEL</t>
  </si>
  <si>
    <t>1. Điền mã năng lực trọng tâm của tháng/chủ đề vào dòng tiêu đề (Mã 1...Mã 10), lấy theo cột Trục năng lực trong sheet PHIENCHE.</t>
  </si>
  <si>
    <t>2. Vùng nhập đánh giá chỉ nằm trong F6:O30 — đã giới hạn Data Validation (chỉ nhận I/H/V/X).</t>
  </si>
  <si>
    <t>3. Đếm theo TỪNG TRẺ (hàng ngang): =COUNTIF(F6:O6,"I") — chỉ quét đúng vùng mã, KHÔNG quét cột Họ tên/Ngày sinh/Ghi chú.</t>
  </si>
  <si>
    <t>4. "Số mã đã quan sát" = COUNTA(vùng mã) - COUNTIF(vùng mã,"X") — loại trừ ô trống và ô X ra khỏi tổng đã đánh giá thực sự.</t>
  </si>
  <si>
    <t>5. Dòng TỔNG HỢP CẢ LỚP dùng COUNTIF theo CỘT (từng mã) để biết mã nào cả lớp còn nhiều trẻ mức I — dùng điều chỉnh hoạt động chung, không so sánh trẻ.</t>
  </si>
  <si>
    <t>6. Khi nhân bản sheet này cho nhiều lớp, đặt tên liền kề (BANGKIEMLOP_MGB_A, BANGKIEMLOP_MGB_B...) để DASHBOARD_TOANTRUONG cộng đúng.</t>
  </si>
  <si>
    <t>7. KHÔNG xếp hạng trẻ theo tổng số mức V — bảng chỉ phục vụ điều chỉnh dạy học.</t>
  </si>
  <si>
    <t>NHẬT KÝ QUAN SÁT TRẺ — MẪU GIÁO 3-6 TUỔI</t>
  </si>
  <si>
    <t>Dùng hằng ngày hoặc hằng tuần · Ghi lại minh chứng CỤ THỂ, không viết nhận xét chung chung.</t>
  </si>
  <si>
    <t>Mức I/H/V ở đây TẠM THỜI từ 1 lần quan sát — cần tổng hợp nhiều lần mới đưa vào BANGKIEMLOP / PHIEUCANHAN.</t>
  </si>
  <si>
    <t>Ngày</t>
  </si>
  <si>
    <t>Tên trẻ / nhóm trẻ</t>
  </si>
  <si>
    <t>Bối cảnh quan sát</t>
  </si>
  <si>
    <t>Hành vi / câu nói / sản phẩm của trẻ (minh chứng cụ thể)</t>
  </si>
  <si>
    <t>Năng lực liên quan (mã)</t>
  </si>
  <si>
    <t>Mức tạm ghi nhận</t>
  </si>
  <si>
    <t>Nhận xét của GV</t>
  </si>
  <si>
    <t>Điều chỉnh hỗ trợ tiếp theo</t>
  </si>
  <si>
    <t>15/9/2025</t>
  </si>
  <si>
    <t>Bé Minh An</t>
  </si>
  <si>
    <t>Giờ đón trẻ, góc xây dựng</t>
  </si>
  <si>
    <t>Minh An rủ bạn Bo: "Mình xây nhà to nhé, cậu lấy khối vuông đi" - tự phân công và chờ bạn mang khối tới mới xếp tiếp.</t>
  </si>
  <si>
    <t>TX4, TX6</t>
  </si>
  <si>
    <t>Trẻ chủ động rủ bạn, biết chờ đợi - tiến bộ rõ so với tuần trước (chỉ chơi 1 mình).</t>
  </si>
  <si>
    <t>Tiếp tục ghép Minh An với nhóm 2-3 bạn, tăng dần độ phức tạp công trình.</t>
  </si>
  <si>
    <t>KHÔNG NÊN VIẾT CHUNG CHUNG, VD: "Bé Minh An hôm nay ngoan, chơi tốt" — không có hành vi cụ thể, không dùng làm minh chứng được.</t>
  </si>
  <si>
    <t>PHIẾU CÁ NHÂN TRẺ — THEO DÕI XUYÊN SUỐT HỌC KỲ / NĂM HỌC</t>
  </si>
  <si>
    <t>Tổng hợp từ BANGKIEMLOP và NHATKYQUANSAT cho 1 trẻ. Điền tay hoặc dùng VLOOKUP/COUNTIFS tham chiếu 2 sheet đó theo đúng tên trẻ.</t>
  </si>
  <si>
    <t>⚠ Chỉ theo dõi tiến bộ của CHÍNH trẻ đó qua các kỳ — không so sánh với trẻ khác.</t>
  </si>
  <si>
    <t>Họ và tên trẻ:</t>
  </si>
  <si>
    <t>Lớp:</t>
  </si>
  <si>
    <t>Ngày sinh:</t>
  </si>
  <si>
    <t>Năm học:</t>
  </si>
  <si>
    <t>2026-2027</t>
  </si>
  <si>
    <t>Mức đầu năm</t>
  </si>
  <si>
    <t>Mức giữa kỳ 1</t>
  </si>
  <si>
    <t>Mức cuối kỳ 1</t>
  </si>
  <si>
    <t>Mức giữa kỳ 2</t>
  </si>
  <si>
    <t>Mức cuối năm</t>
  </si>
  <si>
    <t>Nhận định xu hướng tiến bộ</t>
  </si>
  <si>
    <t>GHI CHÚ SỬ DỤNG</t>
  </si>
  <si>
    <t>Điền mức I/H/V/X tại mỗi mốc thời gian (đầu năm - giữa/cuối mỗi kỳ) dựa trên tổng hợp nhiều lần quan sát ở NHATKYQUANSAT và BANGKIEMLOP - không điền theo cảm tính 1 lần quan sát. Cột cuối ghi nhận xu hướng bằng lời, ví dụ: "Tiến bộ đều từ I lên H trong học kỳ 1".</t>
  </si>
  <si>
    <t>PHIẾU TRAO ĐỔI CÙNG CHA MẸ TRẺ</t>
  </si>
  <si>
    <t>Đồng hành cùng con phát triển mỗi ngày — văn phong nhẹ nhàng, không so sánh, không dùng từ yếu/kém/chưa đạt.</t>
  </si>
  <si>
    <t>Họ tên bé:</t>
  </si>
  <si>
    <t>Tháng/Chủ đề:</t>
  </si>
  <si>
    <t>Ngày:</t>
  </si>
  <si>
    <t>1. Điều con đã tiến bộ</t>
  </si>
  <si>
    <t>2. Minh chứng cụ thể ở lớp (hành vi/câu nói/sản phẩm thật)</t>
  </si>
  <si>
    <t>3. Điều con đang cần thêm cơ hội rèn luyện (bình thường trong quá trình phát triển)</t>
  </si>
  <si>
    <t>4. Gợi ý cha mẹ đồng hành cùng con tại nhà</t>
  </si>
  <si>
    <t>5. Phản hồi của cha mẹ</t>
  </si>
  <si>
    <t>BẢNG NGÔN NGỮ NÊN DÙNG / KHÔNG NÊN DÙNG (tham khảo nội bộ GV)</t>
  </si>
  <si>
    <t>KHÔNG dùng</t>
  </si>
  <si>
    <t>NÊN dùng thay thế</t>
  </si>
  <si>
    <t>Yếu, kém, chưa đạt, chậm hơn bạn</t>
  </si>
  <si>
    <t>Đang trong quá trình rèn luyện thêm, cần thêm thời gian và cơ hội</t>
  </si>
  <si>
    <t>Con không chịu / con lười</t>
  </si>
  <si>
    <t>Con chưa thật sự hứng thú với hoạt động này, cô đang tìm cách khác phù hợp hơn</t>
  </si>
  <si>
    <t>So với các bạn thì con...</t>
  </si>
  <si>
    <t>So với chính con ở tháng trước, con đã...</t>
  </si>
  <si>
    <t>Nhận xét chung: "Con ngoan, học tốt"</t>
  </si>
  <si>
    <t>Nhận xét có minh chứng cụ thể (hành vi/câu nói/sản phẩm thật)</t>
  </si>
  <si>
    <t>PORTFOLIO TRẺ — MẪU GIÁO 3-6 TUỔI</t>
  </si>
  <si>
    <t>Lưu trữ minh chứng quá trình xuyên suốt học kỳ. File thật (ảnh/sản phẩm/video) lưu trên Drive theo cấu trúc thư mục bên dưới; sheet này là bảng chỉ mục tra cứu.</t>
  </si>
  <si>
    <t>Portfolio_MauGiao/[Lớp]/[Mã trẻ]_[Họ tên]/HK1 hoặc HK2/{Anh, SanPham, Video}/</t>
  </si>
  <si>
    <t>Quy ước tên file: [Ngày YYYYMMDD]_[Học kỳ]_[Mã năng lực]_[Mô tả ngắn không dấu].[đuôi file]</t>
  </si>
  <si>
    <t>VD: 20250915_HK1_TX4_ChoiCungBan.jpg</t>
  </si>
  <si>
    <t>Mã trẻ</t>
  </si>
  <si>
    <t>Tên trẻ</t>
  </si>
  <si>
    <t>Học kỳ</t>
  </si>
  <si>
    <t>Loại minh chứng</t>
  </si>
  <si>
    <t>Tên file/đường dẫn</t>
  </si>
  <si>
    <t>Mã năng lực</t>
  </si>
  <si>
    <t>Mô tả/Câu nói</t>
  </si>
  <si>
    <t>Nhận xét GV</t>
  </si>
  <si>
    <t>Phản hồi cha mẹ</t>
  </si>
  <si>
    <t>DASHBOARD LỚP — TỰ ĐỘNG TỪ SHEET BANGKIEMLOP</t>
  </si>
  <si>
    <t>Áp dụng cho 1 lớp cụ thể. Nếu trường có nhiều lớp, copy sheet BANGKIEMLOP thành nhiều bản (đổi tên theo lớp) và copy sheet DASHBOARD_LOP này kèm theo, sửa lại tham chiếu sheet cho đúng.</t>
  </si>
  <si>
    <t>A. THÔNG TIN LỚP</t>
  </si>
  <si>
    <t>Sĩ số:</t>
  </si>
  <si>
    <t>Số trẻ đã có ≥1 đánh giá:</t>
  </si>
  <si>
    <t>Tỉ lệ đã cập nhật:</t>
  </si>
  <si>
    <t>B. SỐ TRẺ THEO MỨC I/H/V THEO TỪNG MÃ (LỚP NÀY)</t>
  </si>
  <si>
    <t>Mã (Mã 1..10 ở BANGKIEMLOP)</t>
  </si>
  <si>
    <t>C. TRẺ CẦN HỖ TRỢ ĐẶC BIỆT (từ cột Ghi chú ở BANGKIEMLOP)</t>
  </si>
  <si>
    <t>Xem trực tiếp cột E (Ghi chú hỗ trợ đặc biệt) tại sheet BANGKIEMLOP — lọc (Filter) các dòng có ghi chú khác rỗng.</t>
  </si>
  <si>
    <t>D. ĐỀ XUẤT SINH HOẠT CHUYÊN MÔN CỦA LỚP</t>
  </si>
  <si>
    <t>⚠ Dashboard chỉ phục vụ điều chỉnh hoạt động — KHÔNG dùng xếp loại trẻ trong lớp.</t>
  </si>
  <si>
    <t>DASHBOARD TOÀN TRƯỜNG — DÀNH CHO CÁN BỘ QUẢN LÝ</t>
  </si>
  <si>
    <t>Tổng hợp nhiều lớp: copy sheet BANGKIEMLOP thành 1 bản/lớp (đặt tên liền kề, VD BANGKIEMLOP_MGB_A, BANGKIEMLOP_MGB_B, BANGKIEMLOP_MGN_A...), sau đó sửa công thức bên dưới cộng đúng số lớp thực tế.</t>
  </si>
  <si>
    <t>⚠ CHỈ dùng để chỉ đạo chuyên môn (điều chỉnh hoạt động, phân bổ hỗ trợ) — KHÔNG xếp hạng thi đua lớp/giáo viên.</t>
  </si>
  <si>
    <t>A. TỔNG SỐ TRẺ TỪNG LỚP VÀ TÌNH TRẠNG CẬP NHẬT (VÍ DỤ MINH HỌA)</t>
  </si>
  <si>
    <t>Lớp</t>
  </si>
  <si>
    <t>Sĩ số</t>
  </si>
  <si>
    <t>Số trẻ đã có ≥1 đánh giá</t>
  </si>
  <si>
    <t>Tỉ lệ đã cập nhật</t>
  </si>
  <si>
    <t>Trạng thái</t>
  </si>
  <si>
    <t>MGB-A (ví dụ - sửa lại tên sheet cho đúng thực tế)</t>
  </si>
  <si>
    <t>B. SỐ TRẺ MỨC I/H/V THEO TỪNG MÃ (CỘNG NHIỀU LỚP — SỬA CÔNG THỨC KHI CÓ ĐỦ SỐ LỚP THẬT)</t>
  </si>
  <si>
    <t>Tổng đã đánh giá</t>
  </si>
  <si>
    <t>% mức I (cần chú ý)</t>
  </si>
  <si>
    <t>C. TOP 3 NĂNG LỰC CẦN HỖ TRỢ NHIỀU NHẤT TOÀN TRƯỜNG</t>
  </si>
  <si>
    <t>Hạng 1:</t>
  </si>
  <si>
    <t>Hạng 2:</t>
  </si>
  <si>
    <t>Hạng 3:</t>
  </si>
  <si>
    <t>D. TRẺ CẦN HỖ TRỢ ĐẶC BIỆT (tổng hợp thủ công từ cột Ghi chú của từng sheet lớp)</t>
  </si>
  <si>
    <t>E. MINH CHỨNG CÒN THIẾU (đối chiếu sheet PORTFOLIO)</t>
  </si>
  <si>
    <t>Mã năng lực có Tổng đã đánh giá cao ở mục B nhưng chưa có dòng tương ứng trong PORTFOLIO → GV cần bổ sung minh chứng.</t>
  </si>
  <si>
    <t>F. GỢI Ý CHỈ ĐẠO SINH HOẠT CHUYÊN MÔN</t>
  </si>
  <si>
    <t>⚠ LƯU Ý: Dashboard chỉ phục vụ chỉ đạo chuyên môn — KHÔNG dùng xếp hạng thi đua giữa các lớp/giáo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</si>
</sst>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name val="Times New Roman"/>
      <charset val="1"/>
    </font>
    <font>
      <sz val="11"/>
      <color theme="1"/>
      <name val="Calibri"/>
      <family val="2"/>
      <charset val="1"/>
    </font>
    <font>
      <b/>
      <sz val="20"/>
      <color rgb="FF44546A"/>
      <name val="Times New Roman"/>
      <charset val="1"/>
    </font>
    <font>
      <b/>
      <sz val="13"/>
      <color rgb="FF2F5496"/>
      <name val="Times New Roman"/>
      <charset val="1"/>
    </font>
    <font>
      <i/>
      <sz val="11"/>
      <color rgb="FF595959"/>
      <name val="Times New Roman"/>
      <charset val="1"/>
    </font>
    <font>
      <sz val="11"/>
      <color theme="1"/>
      <name val="Times New Roman"/>
      <charset val="1"/>
    </font>
    <font>
      <b/>
      <sz val="10"/>
      <color rgb="FFFFFFFF"/>
      <name val="Times New Roman"/>
      <charset val="1"/>
    </font>
    <font>
      <b/>
      <sz val="10"/>
      <color rgb="FF44546A"/>
      <name val="Times New Roman"/>
      <charset val="1"/>
    </font>
    <font>
      <u/>
      <sz val="11"/>
      <color rgb="FF0563C1"/>
      <name val="Times New Roman"/>
      <charset val="1"/>
    </font>
    <font>
      <sz val="9"/>
      <color rgb="FFFFFFFF"/>
      <name val="Times New Roman"/>
      <charset val="1"/>
    </font>
    <font>
      <b/>
      <sz val="10"/>
      <color rgb="FF2F5496"/>
      <name val="Times New Roman"/>
      <charset val="1"/>
    </font>
    <font>
      <b/>
      <sz val="10"/>
      <color rgb="FF548235"/>
      <name val="Times New Roman"/>
      <charset val="1"/>
    </font>
    <font>
      <b/>
      <sz val="10"/>
      <color rgb="FFBF8F00"/>
      <name val="Times New Roman"/>
      <charset val="1"/>
    </font>
    <font>
      <b/>
      <sz val="10"/>
      <color rgb="FF7030A0"/>
      <name val="Times New Roman"/>
      <charset val="1"/>
    </font>
    <font>
      <b/>
      <sz val="10"/>
      <color rgb="FFC00000"/>
      <name val="Times New Roman"/>
      <charset val="1"/>
    </font>
    <font>
      <i/>
      <sz val="9"/>
      <color rgb="FF808080"/>
      <name val="Times New Roman"/>
      <charset val="1"/>
    </font>
    <font>
      <b/>
      <sz val="14"/>
      <color rgb="FF44546A"/>
      <name val="Times New Roman"/>
      <charset val="1"/>
    </font>
    <font>
      <b/>
      <u/>
      <sz val="11"/>
      <color rgb="FF0563C1"/>
      <name val="Times New Roman"/>
      <charset val="1"/>
    </font>
    <font>
      <i/>
      <sz val="10"/>
      <color rgb="FF595959"/>
      <name val="Times New Roman"/>
      <charset val="1"/>
    </font>
    <font>
      <b/>
      <sz val="12"/>
      <color rgb="FF44546A"/>
      <name val="Times New Roman"/>
      <charset val="1"/>
    </font>
    <font>
      <sz val="10"/>
      <name val="Times New Roman"/>
      <charset val="1"/>
    </font>
    <font>
      <sz val="8"/>
      <color rgb="FFBFBFBF"/>
      <name val="Times New Roman"/>
      <charset val="1"/>
    </font>
    <font>
      <b/>
      <sz val="10"/>
      <name val="Times New Roman"/>
      <charset val="1"/>
    </font>
    <font>
      <i/>
      <sz val="9"/>
      <color rgb="FFC00000"/>
      <name val="Times New Roman"/>
      <charset val="1"/>
    </font>
    <font>
      <b/>
      <sz val="14"/>
      <color rgb="FF2F5496"/>
      <name val="Times New Roman"/>
      <charset val="1"/>
    </font>
    <font>
      <b/>
      <sz val="14"/>
      <color rgb="FF548235"/>
      <name val="Times New Roman"/>
      <charset val="1"/>
    </font>
    <font>
      <b/>
      <sz val="12"/>
      <color rgb="FF548235"/>
      <name val="Times New Roman"/>
      <charset val="1"/>
    </font>
    <font>
      <b/>
      <sz val="14"/>
      <color rgb="FFBF8F00"/>
      <name val="Times New Roman"/>
      <charset val="1"/>
    </font>
    <font>
      <b/>
      <sz val="14"/>
      <color rgb="FF7030A0"/>
      <name val="Times New Roman"/>
      <charset val="1"/>
    </font>
    <font>
      <b/>
      <sz val="9"/>
      <name val="Times New Roman"/>
      <charset val="1"/>
    </font>
    <font>
      <b/>
      <sz val="12"/>
      <color rgb="FF7030A0"/>
      <name val="Times New Roman"/>
      <charset val="1"/>
    </font>
    <font>
      <b/>
      <sz val="11"/>
      <name val="Times New Roman"/>
      <charset val="1"/>
    </font>
    <font>
      <b/>
      <sz val="11"/>
      <color rgb="FF7030A0"/>
      <name val="Times New Roman"/>
      <charset val="1"/>
    </font>
    <font>
      <i/>
      <sz val="10"/>
      <name val="Times New Roman"/>
      <charset val="1"/>
    </font>
    <font>
      <b/>
      <sz val="11"/>
      <color rgb="FFC00000"/>
      <name val="Times New Roman"/>
      <charset val="1"/>
    </font>
    <font>
      <b/>
      <sz val="14"/>
      <color rgb="FFC00000"/>
      <name val="Times New Roman"/>
      <charset val="1"/>
    </font>
    <font>
      <b/>
      <sz val="12"/>
      <color rgb="FFC00000"/>
      <name val="Times New Roman"/>
      <charset val="1"/>
    </font>
  </fonts>
  <fills count="14">
    <fill>
      <patternFill patternType="none"/>
    </fill>
    <fill>
      <patternFill patternType="gray125"/>
    </fill>
    <fill>
      <patternFill patternType="solid">
        <fgColor rgb="FF44546A"/>
        <bgColor rgb="FF595959"/>
      </patternFill>
    </fill>
    <fill>
      <patternFill patternType="solid">
        <fgColor rgb="FFF2F2F2"/>
        <bgColor rgb="FFE2EFDA"/>
      </patternFill>
    </fill>
    <fill>
      <patternFill patternType="solid">
        <fgColor rgb="FF2F5496"/>
        <bgColor rgb="FF44546A"/>
      </patternFill>
    </fill>
    <fill>
      <patternFill patternType="solid">
        <fgColor rgb="FF548235"/>
        <bgColor rgb="FF339966"/>
      </patternFill>
    </fill>
    <fill>
      <patternFill patternType="solid">
        <fgColor rgb="FFBF8F00"/>
        <bgColor rgb="FFFF6600"/>
      </patternFill>
    </fill>
    <fill>
      <patternFill patternType="solid">
        <fgColor rgb="FF7030A0"/>
        <bgColor rgb="FF800080"/>
      </patternFill>
    </fill>
    <fill>
      <patternFill patternType="solid">
        <fgColor rgb="FFC00000"/>
        <bgColor rgb="FF800000"/>
      </patternFill>
    </fill>
    <fill>
      <patternFill patternType="solid">
        <fgColor rgb="FFDDEBF7"/>
        <bgColor rgb="FFE2EFDA"/>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EAD1DC"/>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3">
    <xf numFmtId="0" fontId="0" fillId="0" borderId="0" xfId="0"/>
    <xf numFmtId="0" fontId="5" fillId="0" borderId="1" xfId="0" applyFont="1" applyBorder="1"/>
    <xf numFmtId="0" fontId="33" fillId="0" borderId="0" xfId="0" applyFont="1" applyAlignment="1">
      <alignment wrapText="1"/>
    </xf>
    <xf numFmtId="0" fontId="20" fillId="0" borderId="0" xfId="0" applyFont="1" applyAlignment="1">
      <alignment vertical="top" wrapText="1"/>
    </xf>
    <xf numFmtId="0" fontId="15" fillId="0" borderId="0" xfId="0" applyFont="1" applyAlignment="1">
      <alignment wrapText="1"/>
    </xf>
    <xf numFmtId="0" fontId="14" fillId="3" borderId="0" xfId="0" applyFont="1" applyFill="1"/>
    <xf numFmtId="0" fontId="13" fillId="3" borderId="0" xfId="0" applyFont="1" applyFill="1"/>
    <xf numFmtId="0" fontId="12" fillId="3" borderId="0" xfId="0" applyFont="1" applyFill="1"/>
    <xf numFmtId="0" fontId="11" fillId="3" borderId="0" xfId="0" applyFont="1" applyFill="1"/>
    <xf numFmtId="0" fontId="10" fillId="3" borderId="0" xfId="0" applyFont="1" applyFill="1"/>
    <xf numFmtId="0" fontId="7" fillId="3" borderId="0" xfId="0" applyFont="1" applyFill="1"/>
    <xf numFmtId="0" fontId="4" fillId="0" borderId="0" xfId="0" applyFont="1"/>
    <xf numFmtId="0" fontId="3" fillId="0" borderId="0" xfId="0" applyFont="1"/>
    <xf numFmtId="0" fontId="2" fillId="0" borderId="0" xfId="0" applyFont="1"/>
    <xf numFmtId="0" fontId="1" fillId="0" borderId="0" xfId="0" applyFont="1"/>
    <xf numFmtId="0" fontId="5" fillId="0" borderId="0" xfId="0" applyFont="1"/>
    <xf numFmtId="0" fontId="6" fillId="2" borderId="1" xfId="0" applyFont="1" applyFill="1" applyBorder="1" applyAlignment="1">
      <alignment vertical="top" wrapText="1"/>
    </xf>
    <xf numFmtId="0" fontId="0" fillId="0" borderId="1" xfId="0" applyBorder="1"/>
    <xf numFmtId="0" fontId="8" fillId="0" borderId="1" xfId="0" applyFont="1" applyBorder="1"/>
    <xf numFmtId="0" fontId="0" fillId="0" borderId="1" xfId="0" applyBorder="1" applyAlignment="1">
      <alignment vertical="top" wrapText="1"/>
    </xf>
    <xf numFmtId="0" fontId="9" fillId="2" borderId="1" xfId="0" applyFont="1" applyFill="1" applyBorder="1"/>
    <xf numFmtId="0" fontId="9" fillId="4" borderId="1" xfId="0" applyFont="1" applyFill="1" applyBorder="1"/>
    <xf numFmtId="0" fontId="9" fillId="5" borderId="1" xfId="0" applyFont="1" applyFill="1" applyBorder="1"/>
    <xf numFmtId="0" fontId="9" fillId="6" borderId="1" xfId="0" applyFont="1" applyFill="1" applyBorder="1"/>
    <xf numFmtId="0" fontId="9" fillId="7" borderId="1" xfId="0" applyFont="1" applyFill="1" applyBorder="1"/>
    <xf numFmtId="0" fontId="9" fillId="8" borderId="1" xfId="0" applyFont="1" applyFill="1" applyBorder="1"/>
    <xf numFmtId="0" fontId="16" fillId="0" borderId="0" xfId="0" applyFont="1"/>
    <xf numFmtId="0" fontId="17" fillId="3" borderId="1" xfId="0" applyFont="1" applyFill="1" applyBorder="1" applyAlignment="1">
      <alignment horizontal="center" vertical="center"/>
    </xf>
    <xf numFmtId="0" fontId="18" fillId="0" borderId="0" xfId="0" applyFont="1"/>
    <xf numFmtId="0" fontId="19" fillId="0" borderId="0" xfId="0" applyFont="1"/>
    <xf numFmtId="0" fontId="20" fillId="0" borderId="0" xfId="0" applyFont="1" applyAlignment="1">
      <alignment wrapText="1"/>
    </xf>
    <xf numFmtId="0" fontId="21" fillId="0" borderId="0" xfId="0" applyFont="1"/>
    <xf numFmtId="0" fontId="5" fillId="0" borderId="1" xfId="0" applyFont="1" applyBorder="1" applyAlignment="1">
      <alignment vertical="top" wrapText="1"/>
    </xf>
    <xf numFmtId="0" fontId="22" fillId="0" borderId="0" xfId="0" applyFont="1"/>
    <xf numFmtId="0" fontId="23" fillId="0" borderId="0" xfId="0" applyFont="1"/>
    <xf numFmtId="0" fontId="22" fillId="0" borderId="1" xfId="0" applyFont="1" applyBorder="1"/>
    <xf numFmtId="0" fontId="20" fillId="0" borderId="1" xfId="0" applyFont="1" applyBorder="1" applyAlignment="1">
      <alignment vertical="top" wrapText="1"/>
    </xf>
    <xf numFmtId="0" fontId="24" fillId="0" borderId="0" xfId="0" applyFont="1"/>
    <xf numFmtId="0" fontId="6" fillId="4" borderId="1" xfId="0" applyFont="1" applyFill="1" applyBorder="1" applyAlignment="1">
      <alignment vertical="top" wrapText="1"/>
    </xf>
    <xf numFmtId="0" fontId="22" fillId="9" borderId="1" xfId="0" applyFont="1" applyFill="1" applyBorder="1" applyAlignment="1">
      <alignment vertical="top" wrapText="1"/>
    </xf>
    <xf numFmtId="0" fontId="22" fillId="10" borderId="1" xfId="0" applyFont="1" applyFill="1" applyBorder="1" applyAlignment="1">
      <alignment vertical="top" wrapText="1"/>
    </xf>
    <xf numFmtId="0" fontId="22" fillId="11" borderId="1" xfId="0" applyFont="1" applyFill="1" applyBorder="1" applyAlignment="1">
      <alignment vertical="top" wrapText="1"/>
    </xf>
    <xf numFmtId="0" fontId="22" fillId="12" borderId="1" xfId="0" applyFont="1" applyFill="1" applyBorder="1" applyAlignment="1">
      <alignment vertical="top" wrapText="1"/>
    </xf>
    <xf numFmtId="0" fontId="22" fillId="13" borderId="1" xfId="0" applyFont="1" applyFill="1" applyBorder="1" applyAlignment="1">
      <alignment vertical="top" wrapText="1"/>
    </xf>
    <xf numFmtId="0" fontId="14" fillId="0" borderId="0" xfId="0" applyFont="1"/>
    <xf numFmtId="0" fontId="25" fillId="0" borderId="0" xfId="0" applyFont="1"/>
    <xf numFmtId="0" fontId="26" fillId="0" borderId="0" xfId="0" applyFont="1"/>
    <xf numFmtId="0" fontId="6" fillId="5" borderId="1" xfId="0" applyFont="1" applyFill="1" applyBorder="1" applyAlignment="1">
      <alignment vertical="top" wrapText="1"/>
    </xf>
    <xf numFmtId="0" fontId="22" fillId="9" borderId="1" xfId="0" applyFont="1" applyFill="1" applyBorder="1"/>
    <xf numFmtId="0" fontId="5" fillId="0" borderId="1" xfId="0" applyFont="1" applyBorder="1"/>
    <xf numFmtId="0" fontId="22" fillId="10" borderId="1" xfId="0" applyFont="1" applyFill="1" applyBorder="1"/>
    <xf numFmtId="0" fontId="22" fillId="11" borderId="1" xfId="0" applyFont="1" applyFill="1" applyBorder="1"/>
    <xf numFmtId="0" fontId="22" fillId="12" borderId="1" xfId="0" applyFont="1" applyFill="1" applyBorder="1"/>
    <xf numFmtId="0" fontId="22" fillId="13" borderId="1" xfId="0" applyFont="1" applyFill="1" applyBorder="1"/>
    <xf numFmtId="0" fontId="5" fillId="9" borderId="1" xfId="0" applyFont="1" applyFill="1" applyBorder="1" applyAlignment="1">
      <alignment vertical="top" wrapText="1"/>
    </xf>
    <xf numFmtId="0" fontId="5" fillId="12" borderId="1" xfId="0" applyFont="1" applyFill="1" applyBorder="1" applyAlignment="1">
      <alignment vertical="top" wrapText="1"/>
    </xf>
    <xf numFmtId="0" fontId="5" fillId="11" borderId="1" xfId="0" applyFont="1" applyFill="1" applyBorder="1" applyAlignment="1">
      <alignment vertical="top" wrapText="1"/>
    </xf>
    <xf numFmtId="0" fontId="27" fillId="0" borderId="0" xfId="0" applyFont="1"/>
    <xf numFmtId="0" fontId="6" fillId="6" borderId="1" xfId="0" applyFont="1" applyFill="1" applyBorder="1" applyAlignment="1">
      <alignment vertical="top" wrapText="1"/>
    </xf>
    <xf numFmtId="0" fontId="28" fillId="0" borderId="0" xfId="0" applyFont="1"/>
    <xf numFmtId="0" fontId="6" fillId="7" borderId="1" xfId="0" applyFont="1" applyFill="1" applyBorder="1" applyAlignment="1">
      <alignment vertical="top" wrapText="1"/>
    </xf>
    <xf numFmtId="0" fontId="29" fillId="0" borderId="0" xfId="0" applyFont="1"/>
    <xf numFmtId="0" fontId="30" fillId="0" borderId="0" xfId="0" applyFont="1"/>
    <xf numFmtId="0" fontId="5" fillId="10" borderId="1" xfId="0" applyFont="1" applyFill="1" applyBorder="1" applyAlignment="1">
      <alignment vertical="top" wrapText="1"/>
    </xf>
    <xf numFmtId="0" fontId="31" fillId="0" borderId="0" xfId="0" applyFont="1"/>
    <xf numFmtId="0" fontId="32" fillId="0" borderId="0" xfId="0" applyFont="1"/>
    <xf numFmtId="0" fontId="34" fillId="0" borderId="0" xfId="0" applyFont="1"/>
    <xf numFmtId="0" fontId="20" fillId="0" borderId="0" xfId="0" applyFont="1"/>
    <xf numFmtId="0" fontId="35" fillId="0" borderId="0" xfId="0" applyFont="1"/>
    <xf numFmtId="0" fontId="36" fillId="0" borderId="0" xfId="0" applyFont="1"/>
    <xf numFmtId="9" fontId="5" fillId="0" borderId="1" xfId="0" applyNumberFormat="1" applyFont="1" applyBorder="1"/>
    <xf numFmtId="0" fontId="6" fillId="8" borderId="1" xfId="0" applyFont="1" applyFill="1" applyBorder="1" applyAlignment="1">
      <alignment vertical="top" wrapText="1"/>
    </xf>
    <xf numFmtId="0" fontId="3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EAD1DC"/>
      <rgbColor rgb="FF4F81BD"/>
      <rgbColor rgb="FF33CCCC"/>
      <rgbColor rgb="FF9BBB59"/>
      <rgbColor rgb="FFFFCC00"/>
      <rgbColor rgb="FFBF8F00"/>
      <rgbColor rgb="FFFF6600"/>
      <rgbColor rgb="FF595959"/>
      <rgbColor rgb="FFB3B3B3"/>
      <rgbColor rgb="FF003366"/>
      <rgbColor rgb="FF339966"/>
      <rgbColor rgb="FF003300"/>
      <rgbColor rgb="FF333300"/>
      <rgbColor rgb="FF993300"/>
      <rgbColor rgb="FFC0504D"/>
      <rgbColor rgb="FF2F5496"/>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Số trẻ theo mức I/H/V theo mã (lớp này)</a:t>
            </a:r>
          </a:p>
        </c:rich>
      </c:tx>
      <c:overlay val="0"/>
      <c:spPr>
        <a:noFill/>
        <a:ln w="0">
          <a:noFill/>
        </a:ln>
      </c:spPr>
    </c:title>
    <c:autoTitleDeleted val="0"/>
    <c:plotArea>
      <c:layout/>
      <c:barChart>
        <c:barDir val="col"/>
        <c:grouping val="clustered"/>
        <c:varyColors val="0"/>
        <c:ser>
          <c:idx val="0"/>
          <c:order val="0"/>
          <c:tx>
            <c:strRef>
              <c:f>DASHBOARD_LOP!$B$10</c:f>
              <c:strCache>
                <c:ptCount val="1"/>
                <c:pt idx="0">
                  <c:v>Số trẻ mức I</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DASHBOARD_LOP!$A$11:$A$20</c:f>
              <c:strCache>
                <c:ptCount val="10"/>
                <c:pt idx="0">
                  <c:v>Mã 1</c:v>
                </c:pt>
                <c:pt idx="1">
                  <c:v>Mã 2</c:v>
                </c:pt>
                <c:pt idx="2">
                  <c:v>Mã 3</c:v>
                </c:pt>
                <c:pt idx="3">
                  <c:v>Mã 4</c:v>
                </c:pt>
                <c:pt idx="4">
                  <c:v>Mã 5</c:v>
                </c:pt>
                <c:pt idx="5">
                  <c:v>Mã 6</c:v>
                </c:pt>
                <c:pt idx="6">
                  <c:v>Mã 7</c:v>
                </c:pt>
                <c:pt idx="7">
                  <c:v>Mã 8</c:v>
                </c:pt>
                <c:pt idx="8">
                  <c:v>Mã 9</c:v>
                </c:pt>
                <c:pt idx="9">
                  <c:v>Mã 10</c:v>
                </c:pt>
              </c:strCache>
            </c:strRef>
          </c:cat>
          <c:val>
            <c:numRef>
              <c:f>DASHBOARD_LOP!$B$11:$B$20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469C-4002-A5AC-6883298AFD57}"/>
            </c:ext>
          </c:extLst>
        </c:ser>
        <c:ser>
          <c:idx val="1"/>
          <c:order val="1"/>
          <c:tx>
            <c:strRef>
              <c:f>DASHBOARD_LOP!$C$10</c:f>
              <c:strCache>
                <c:ptCount val="1"/>
                <c:pt idx="0">
                  <c:v>Số trẻ mức H</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DASHBOARD_LOP!$A$11:$A$20</c:f>
              <c:strCache>
                <c:ptCount val="10"/>
                <c:pt idx="0">
                  <c:v>Mã 1</c:v>
                </c:pt>
                <c:pt idx="1">
                  <c:v>Mã 2</c:v>
                </c:pt>
                <c:pt idx="2">
                  <c:v>Mã 3</c:v>
                </c:pt>
                <c:pt idx="3">
                  <c:v>Mã 4</c:v>
                </c:pt>
                <c:pt idx="4">
                  <c:v>Mã 5</c:v>
                </c:pt>
                <c:pt idx="5">
                  <c:v>Mã 6</c:v>
                </c:pt>
                <c:pt idx="6">
                  <c:v>Mã 7</c:v>
                </c:pt>
                <c:pt idx="7">
                  <c:v>Mã 8</c:v>
                </c:pt>
                <c:pt idx="8">
                  <c:v>Mã 9</c:v>
                </c:pt>
                <c:pt idx="9">
                  <c:v>Mã 10</c:v>
                </c:pt>
              </c:strCache>
            </c:strRef>
          </c:cat>
          <c:val>
            <c:numRef>
              <c:f>DASHBOARD_LOP!$C$11:$C$20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469C-4002-A5AC-6883298AFD57}"/>
            </c:ext>
          </c:extLst>
        </c:ser>
        <c:ser>
          <c:idx val="2"/>
          <c:order val="2"/>
          <c:tx>
            <c:strRef>
              <c:f>DASHBOARD_LOP!$D$10</c:f>
              <c:strCache>
                <c:ptCount val="1"/>
                <c:pt idx="0">
                  <c:v>Số trẻ mức V</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DASHBOARD_LOP!$A$11:$A$20</c:f>
              <c:strCache>
                <c:ptCount val="10"/>
                <c:pt idx="0">
                  <c:v>Mã 1</c:v>
                </c:pt>
                <c:pt idx="1">
                  <c:v>Mã 2</c:v>
                </c:pt>
                <c:pt idx="2">
                  <c:v>Mã 3</c:v>
                </c:pt>
                <c:pt idx="3">
                  <c:v>Mã 4</c:v>
                </c:pt>
                <c:pt idx="4">
                  <c:v>Mã 5</c:v>
                </c:pt>
                <c:pt idx="5">
                  <c:v>Mã 6</c:v>
                </c:pt>
                <c:pt idx="6">
                  <c:v>Mã 7</c:v>
                </c:pt>
                <c:pt idx="7">
                  <c:v>Mã 8</c:v>
                </c:pt>
                <c:pt idx="8">
                  <c:v>Mã 9</c:v>
                </c:pt>
                <c:pt idx="9">
                  <c:v>Mã 10</c:v>
                </c:pt>
              </c:strCache>
            </c:strRef>
          </c:cat>
          <c:val>
            <c:numRef>
              <c:f>DASHBOARD_LOP!$D$11:$D$20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469C-4002-A5AC-6883298AFD57}"/>
            </c:ext>
          </c:extLst>
        </c:ser>
        <c:dLbls>
          <c:showLegendKey val="0"/>
          <c:showVal val="0"/>
          <c:showCatName val="0"/>
          <c:showSerName val="0"/>
          <c:showPercent val="0"/>
          <c:showBubbleSize val="0"/>
        </c:dLbls>
        <c:gapWidth val="150"/>
        <c:axId val="69819277"/>
        <c:axId val="30343980"/>
      </c:barChart>
      <c:catAx>
        <c:axId val="6981927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vi-VN"/>
          </a:p>
        </c:txPr>
        <c:crossAx val="30343980"/>
        <c:crosses val="autoZero"/>
        <c:auto val="1"/>
        <c:lblAlgn val="ctr"/>
        <c:lblOffset val="100"/>
        <c:noMultiLvlLbl val="0"/>
      </c:catAx>
      <c:valAx>
        <c:axId val="30343980"/>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vi-VN"/>
          </a:p>
        </c:txPr>
        <c:crossAx val="698192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vi-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Số trẻ theo mức I/H/V theo năng lực (toàn trường)</a:t>
            </a:r>
          </a:p>
        </c:rich>
      </c:tx>
      <c:overlay val="0"/>
      <c:spPr>
        <a:noFill/>
        <a:ln w="0">
          <a:noFill/>
        </a:ln>
      </c:spPr>
    </c:title>
    <c:autoTitleDeleted val="0"/>
    <c:plotArea>
      <c:layout/>
      <c:barChart>
        <c:barDir val="col"/>
        <c:grouping val="clustered"/>
        <c:varyColors val="0"/>
        <c:ser>
          <c:idx val="0"/>
          <c:order val="0"/>
          <c:tx>
            <c:strRef>
              <c:f>DASHBOARD_TOANTRUONG!$B$10</c:f>
              <c:strCache>
                <c:ptCount val="1"/>
                <c:pt idx="0">
                  <c:v>Số trẻ mức I</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DASHBOARD_TOANTRUONG!$A$11:$A$20</c:f>
              <c:strCache>
                <c:ptCount val="10"/>
                <c:pt idx="0">
                  <c:v>Mã 1</c:v>
                </c:pt>
                <c:pt idx="1">
                  <c:v>Mã 2</c:v>
                </c:pt>
                <c:pt idx="2">
                  <c:v>Mã 3</c:v>
                </c:pt>
                <c:pt idx="3">
                  <c:v>Mã 4</c:v>
                </c:pt>
                <c:pt idx="4">
                  <c:v>Mã 5</c:v>
                </c:pt>
                <c:pt idx="5">
                  <c:v>Mã 6</c:v>
                </c:pt>
                <c:pt idx="6">
                  <c:v>Mã 7</c:v>
                </c:pt>
                <c:pt idx="7">
                  <c:v>Mã 8</c:v>
                </c:pt>
                <c:pt idx="8">
                  <c:v>Mã 9</c:v>
                </c:pt>
                <c:pt idx="9">
                  <c:v>Mã 10</c:v>
                </c:pt>
              </c:strCache>
            </c:strRef>
          </c:cat>
          <c:val>
            <c:numRef>
              <c:f>DASHBOARD_TOANTRUONG!$B$11:$B$20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582-46B8-8622-7DE6CC5CB54A}"/>
            </c:ext>
          </c:extLst>
        </c:ser>
        <c:ser>
          <c:idx val="1"/>
          <c:order val="1"/>
          <c:tx>
            <c:strRef>
              <c:f>DASHBOARD_TOANTRUONG!$C$10</c:f>
              <c:strCache>
                <c:ptCount val="1"/>
                <c:pt idx="0">
                  <c:v>Số trẻ mức H</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DASHBOARD_TOANTRUONG!$A$11:$A$20</c:f>
              <c:strCache>
                <c:ptCount val="10"/>
                <c:pt idx="0">
                  <c:v>Mã 1</c:v>
                </c:pt>
                <c:pt idx="1">
                  <c:v>Mã 2</c:v>
                </c:pt>
                <c:pt idx="2">
                  <c:v>Mã 3</c:v>
                </c:pt>
                <c:pt idx="3">
                  <c:v>Mã 4</c:v>
                </c:pt>
                <c:pt idx="4">
                  <c:v>Mã 5</c:v>
                </c:pt>
                <c:pt idx="5">
                  <c:v>Mã 6</c:v>
                </c:pt>
                <c:pt idx="6">
                  <c:v>Mã 7</c:v>
                </c:pt>
                <c:pt idx="7">
                  <c:v>Mã 8</c:v>
                </c:pt>
                <c:pt idx="8">
                  <c:v>Mã 9</c:v>
                </c:pt>
                <c:pt idx="9">
                  <c:v>Mã 10</c:v>
                </c:pt>
              </c:strCache>
            </c:strRef>
          </c:cat>
          <c:val>
            <c:numRef>
              <c:f>DASHBOARD_TOANTRUONG!$C$11:$C$20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582-46B8-8622-7DE6CC5CB54A}"/>
            </c:ext>
          </c:extLst>
        </c:ser>
        <c:ser>
          <c:idx val="2"/>
          <c:order val="2"/>
          <c:tx>
            <c:strRef>
              <c:f>DASHBOARD_TOANTRUONG!$D$10</c:f>
              <c:strCache>
                <c:ptCount val="1"/>
                <c:pt idx="0">
                  <c:v>Số trẻ mức V</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vi-V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DASHBOARD_TOANTRUONG!$A$11:$A$20</c:f>
              <c:strCache>
                <c:ptCount val="10"/>
                <c:pt idx="0">
                  <c:v>Mã 1</c:v>
                </c:pt>
                <c:pt idx="1">
                  <c:v>Mã 2</c:v>
                </c:pt>
                <c:pt idx="2">
                  <c:v>Mã 3</c:v>
                </c:pt>
                <c:pt idx="3">
                  <c:v>Mã 4</c:v>
                </c:pt>
                <c:pt idx="4">
                  <c:v>Mã 5</c:v>
                </c:pt>
                <c:pt idx="5">
                  <c:v>Mã 6</c:v>
                </c:pt>
                <c:pt idx="6">
                  <c:v>Mã 7</c:v>
                </c:pt>
                <c:pt idx="7">
                  <c:v>Mã 8</c:v>
                </c:pt>
                <c:pt idx="8">
                  <c:v>Mã 9</c:v>
                </c:pt>
                <c:pt idx="9">
                  <c:v>Mã 10</c:v>
                </c:pt>
              </c:strCache>
            </c:strRef>
          </c:cat>
          <c:val>
            <c:numRef>
              <c:f>DASHBOARD_TOANTRUONG!$D$11:$D$20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582-46B8-8622-7DE6CC5CB54A}"/>
            </c:ext>
          </c:extLst>
        </c:ser>
        <c:dLbls>
          <c:showLegendKey val="0"/>
          <c:showVal val="0"/>
          <c:showCatName val="0"/>
          <c:showSerName val="0"/>
          <c:showPercent val="0"/>
          <c:showBubbleSize val="0"/>
        </c:dLbls>
        <c:gapWidth val="150"/>
        <c:axId val="21589853"/>
        <c:axId val="89606817"/>
      </c:barChart>
      <c:catAx>
        <c:axId val="2158985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vi-VN"/>
          </a:p>
        </c:txPr>
        <c:crossAx val="89606817"/>
        <c:crosses val="autoZero"/>
        <c:auto val="1"/>
        <c:lblAlgn val="ctr"/>
        <c:lblOffset val="100"/>
        <c:noMultiLvlLbl val="0"/>
      </c:catAx>
      <c:valAx>
        <c:axId val="89606817"/>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vi-VN"/>
          </a:p>
        </c:txPr>
        <c:crossAx val="2158985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vi-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7</xdr:col>
      <xdr:colOff>119160</xdr:colOff>
      <xdr:row>6</xdr:row>
      <xdr:rowOff>65160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477360" y="0"/>
          <a:ext cx="1332000" cy="1332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9</xdr:row>
      <xdr:rowOff>160920</xdr:rowOff>
    </xdr:from>
    <xdr:to>
      <xdr:col>18</xdr:col>
      <xdr:colOff>579240</xdr:colOff>
      <xdr:row>28</xdr:row>
      <xdr:rowOff>26280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9</xdr:row>
      <xdr:rowOff>160920</xdr:rowOff>
    </xdr:from>
    <xdr:to>
      <xdr:col>21</xdr:col>
      <xdr:colOff>76320</xdr:colOff>
      <xdr:row>28</xdr:row>
      <xdr:rowOff>26280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546A"/>
  </sheetPr>
  <dimension ref="A1:D33"/>
  <sheetViews>
    <sheetView showGridLines="0" zoomScaleNormal="100" workbookViewId="0">
      <selection sqref="A1:D1"/>
    </sheetView>
  </sheetViews>
  <sheetFormatPr defaultColWidth="8.6328125" defaultRowHeight="14.5" x14ac:dyDescent="0.35"/>
  <cols>
    <col min="1" max="1" width="20" style="14" customWidth="1"/>
    <col min="2" max="2" width="32" style="14" customWidth="1"/>
    <col min="3" max="3" width="55" style="14" customWidth="1"/>
    <col min="4" max="4" width="20" style="14" customWidth="1"/>
  </cols>
  <sheetData>
    <row r="1" spans="1:4" ht="24" customHeight="1" x14ac:dyDescent="0.5">
      <c r="A1" s="13" t="s">
        <v>0</v>
      </c>
      <c r="B1" s="13"/>
      <c r="C1" s="13"/>
      <c r="D1" s="13"/>
    </row>
    <row r="2" spans="1:4" ht="15.75" customHeight="1" x14ac:dyDescent="0.35">
      <c r="A2" s="12" t="s">
        <v>1</v>
      </c>
      <c r="B2" s="12"/>
      <c r="C2" s="12"/>
      <c r="D2" s="12"/>
    </row>
    <row r="3" spans="1:4" ht="15" customHeight="1" x14ac:dyDescent="0.3">
      <c r="A3" s="11" t="s">
        <v>2</v>
      </c>
      <c r="B3" s="11"/>
      <c r="C3" s="11"/>
      <c r="D3" s="11"/>
    </row>
    <row r="4" spans="1:4" ht="15" customHeight="1" x14ac:dyDescent="0.3">
      <c r="A4" s="15"/>
      <c r="B4" s="15"/>
      <c r="C4" s="15"/>
      <c r="D4" s="15"/>
    </row>
    <row r="5" spans="1:4" ht="15" customHeight="1" x14ac:dyDescent="0.3">
      <c r="A5" s="15"/>
      <c r="B5" s="15"/>
      <c r="C5" s="15"/>
      <c r="D5" s="15"/>
    </row>
    <row r="6" spans="1:4" ht="15" customHeight="1" x14ac:dyDescent="0.3">
      <c r="A6" s="16" t="s">
        <v>3</v>
      </c>
      <c r="B6" s="16" t="s">
        <v>4</v>
      </c>
      <c r="C6" s="16" t="s">
        <v>5</v>
      </c>
      <c r="D6" s="16" t="s">
        <v>6</v>
      </c>
    </row>
    <row r="7" spans="1:4" ht="15" customHeight="1" x14ac:dyDescent="0.3">
      <c r="A7" s="10" t="s">
        <v>7</v>
      </c>
      <c r="B7" s="10"/>
      <c r="C7" s="10"/>
      <c r="D7" s="10"/>
    </row>
    <row r="8" spans="1:4" ht="15" customHeight="1" x14ac:dyDescent="0.3">
      <c r="A8" s="17">
        <v>1</v>
      </c>
      <c r="B8" s="18" t="str">
        <f>HYPERLINK("#TRANGCHU!A1","TRANGCHU")</f>
        <v>TRANGCHU</v>
      </c>
      <c r="C8" s="19" t="s">
        <v>8</v>
      </c>
      <c r="D8" s="20" t="s">
        <v>7</v>
      </c>
    </row>
    <row r="9" spans="1:4" ht="15" customHeight="1" x14ac:dyDescent="0.3">
      <c r="A9" s="17">
        <v>2</v>
      </c>
      <c r="B9" s="18" t="str">
        <f>HYPERLINK("#HUONGDAN!A1","HUONGDAN")</f>
        <v>HUONGDAN</v>
      </c>
      <c r="C9" s="19" t="s">
        <v>9</v>
      </c>
      <c r="D9" s="20" t="s">
        <v>7</v>
      </c>
    </row>
    <row r="10" spans="1:4" ht="15" customHeight="1" x14ac:dyDescent="0.3">
      <c r="A10" s="9" t="s">
        <v>10</v>
      </c>
      <c r="B10" s="9"/>
      <c r="C10" s="9"/>
      <c r="D10" s="9"/>
    </row>
    <row r="11" spans="1:4" ht="15" customHeight="1" x14ac:dyDescent="0.3">
      <c r="A11" s="17">
        <v>3</v>
      </c>
      <c r="B11" s="18" t="str">
        <f>HYPERLINK("#KHUNGNL!A1","KHUNGNL")</f>
        <v>KHUNGNL</v>
      </c>
      <c r="C11" s="19" t="s">
        <v>11</v>
      </c>
      <c r="D11" s="21" t="s">
        <v>10</v>
      </c>
    </row>
    <row r="12" spans="1:4" ht="15" customHeight="1" x14ac:dyDescent="0.3">
      <c r="A12" s="17">
        <v>4</v>
      </c>
      <c r="B12" s="18" t="str">
        <f>HYPERLINK("#MOCPT!A1","MOCPT")</f>
        <v>MOCPT</v>
      </c>
      <c r="C12" s="19" t="s">
        <v>12</v>
      </c>
      <c r="D12" s="21" t="s">
        <v>10</v>
      </c>
    </row>
    <row r="13" spans="1:4" ht="15" customHeight="1" x14ac:dyDescent="0.3">
      <c r="A13" s="17">
        <v>5</v>
      </c>
      <c r="B13" s="18" t="str">
        <f>HYPERLINK("#MATRANYCCD!A1","MATRANYCCD")</f>
        <v>MATRANYCCD</v>
      </c>
      <c r="C13" s="19" t="s">
        <v>13</v>
      </c>
      <c r="D13" s="21" t="s">
        <v>10</v>
      </c>
    </row>
    <row r="14" spans="1:4" ht="15" customHeight="1" x14ac:dyDescent="0.3">
      <c r="A14" s="8" t="s">
        <v>14</v>
      </c>
      <c r="B14" s="8"/>
      <c r="C14" s="8"/>
      <c r="D14" s="8"/>
    </row>
    <row r="15" spans="1:4" ht="15" customHeight="1" x14ac:dyDescent="0.3">
      <c r="A15" s="17">
        <v>6</v>
      </c>
      <c r="B15" s="18" t="str">
        <f>HYPERLINK("#KHNAM_3_4T!A1","KHNAM_3_4T")</f>
        <v>KHNAM_3_4T</v>
      </c>
      <c r="C15" s="19" t="s">
        <v>15</v>
      </c>
      <c r="D15" s="22" t="s">
        <v>14</v>
      </c>
    </row>
    <row r="16" spans="1:4" ht="15" customHeight="1" x14ac:dyDescent="0.3">
      <c r="A16" s="17">
        <v>7</v>
      </c>
      <c r="B16" s="18" t="str">
        <f>HYPERLINK("#KHNAM_4_5T!A1","KHNAM_4_5T")</f>
        <v>KHNAM_4_5T</v>
      </c>
      <c r="C16" s="19" t="s">
        <v>16</v>
      </c>
      <c r="D16" s="22" t="s">
        <v>14</v>
      </c>
    </row>
    <row r="17" spans="1:4" ht="15" customHeight="1" x14ac:dyDescent="0.3">
      <c r="A17" s="17">
        <v>8</v>
      </c>
      <c r="B17" s="18" t="str">
        <f>HYPERLINK("#KHNAM_5_6T!A1","KHNAM_5_6T")</f>
        <v>KHNAM_5_6T</v>
      </c>
      <c r="C17" s="19" t="s">
        <v>17</v>
      </c>
      <c r="D17" s="22" t="s">
        <v>14</v>
      </c>
    </row>
    <row r="18" spans="1:4" ht="15" customHeight="1" x14ac:dyDescent="0.3">
      <c r="A18" s="17">
        <v>9</v>
      </c>
      <c r="B18" s="18" t="str">
        <f>HYPERLINK("#PHIENCHE!A1","PHIENCHE")</f>
        <v>PHIENCHE</v>
      </c>
      <c r="C18" s="19" t="s">
        <v>18</v>
      </c>
      <c r="D18" s="22" t="s">
        <v>14</v>
      </c>
    </row>
    <row r="19" spans="1:4" ht="15" customHeight="1" x14ac:dyDescent="0.3">
      <c r="A19" s="7" t="s">
        <v>19</v>
      </c>
      <c r="B19" s="7"/>
      <c r="C19" s="7"/>
      <c r="D19" s="7"/>
    </row>
    <row r="20" spans="1:4" ht="15" customHeight="1" x14ac:dyDescent="0.3">
      <c r="A20" s="17">
        <v>10</v>
      </c>
      <c r="B20" s="18" t="str">
        <f>HYPERLINK("#NGANHANGHD!A1","NGANHANGHD")</f>
        <v>NGANHANGHD</v>
      </c>
      <c r="C20" s="19" t="s">
        <v>20</v>
      </c>
      <c r="D20" s="23" t="s">
        <v>19</v>
      </c>
    </row>
    <row r="21" spans="1:4" ht="15" customHeight="1" x14ac:dyDescent="0.3">
      <c r="A21" s="17">
        <v>11</v>
      </c>
      <c r="B21" s="18" t="str">
        <f>HYPERLINK("#NGANHANGHL!A1","NGANHANGHL")</f>
        <v>NGANHANGHL</v>
      </c>
      <c r="C21" s="19" t="s">
        <v>21</v>
      </c>
      <c r="D21" s="23" t="s">
        <v>19</v>
      </c>
    </row>
    <row r="22" spans="1:4" ht="15" customHeight="1" x14ac:dyDescent="0.3">
      <c r="A22" s="6" t="s">
        <v>22</v>
      </c>
      <c r="B22" s="6"/>
      <c r="C22" s="6"/>
      <c r="D22" s="6"/>
    </row>
    <row r="23" spans="1:4" ht="15" customHeight="1" x14ac:dyDescent="0.3">
      <c r="A23" s="17">
        <v>12</v>
      </c>
      <c r="B23" s="18" t="str">
        <f>HYPERLINK("#RUBRIC!A1","RUBRIC")</f>
        <v>RUBRIC</v>
      </c>
      <c r="C23" s="19" t="s">
        <v>23</v>
      </c>
      <c r="D23" s="24" t="s">
        <v>22</v>
      </c>
    </row>
    <row r="24" spans="1:4" ht="15" customHeight="1" x14ac:dyDescent="0.3">
      <c r="A24" s="17">
        <v>13</v>
      </c>
      <c r="B24" s="18" t="str">
        <f>HYPERLINK("#PHIEUCANHAN!A1","PHIEUCANHAN")</f>
        <v>PHIEUCANHAN</v>
      </c>
      <c r="C24" s="19" t="s">
        <v>24</v>
      </c>
      <c r="D24" s="24" t="s">
        <v>22</v>
      </c>
    </row>
    <row r="25" spans="1:4" ht="15" customHeight="1" x14ac:dyDescent="0.3">
      <c r="A25" s="17">
        <v>14</v>
      </c>
      <c r="B25" s="18" t="str">
        <f>HYPERLINK("#BANGKIEMLOP!A1","BANGKIEMLOP")</f>
        <v>BANGKIEMLOP</v>
      </c>
      <c r="C25" s="19" t="s">
        <v>25</v>
      </c>
      <c r="D25" s="24" t="s">
        <v>22</v>
      </c>
    </row>
    <row r="26" spans="1:4" ht="15" customHeight="1" x14ac:dyDescent="0.3">
      <c r="A26" s="17">
        <v>15</v>
      </c>
      <c r="B26" s="18" t="str">
        <f>HYPERLINK("#NHATKYQUANSAT!A1","NHATKYQUANSAT")</f>
        <v>NHATKYQUANSAT</v>
      </c>
      <c r="C26" s="19" t="s">
        <v>26</v>
      </c>
      <c r="D26" s="24" t="s">
        <v>22</v>
      </c>
    </row>
    <row r="27" spans="1:4" ht="15" customHeight="1" x14ac:dyDescent="0.3">
      <c r="A27" s="17">
        <v>16</v>
      </c>
      <c r="B27" s="18" t="str">
        <f>HYPERLINK("#PHIEUTRAODOI!A1","PHIEUTRAODOI")</f>
        <v>PHIEUTRAODOI</v>
      </c>
      <c r="C27" s="19" t="s">
        <v>27</v>
      </c>
      <c r="D27" s="24" t="s">
        <v>22</v>
      </c>
    </row>
    <row r="28" spans="1:4" ht="15" customHeight="1" x14ac:dyDescent="0.3">
      <c r="A28" s="17">
        <v>17</v>
      </c>
      <c r="B28" s="18" t="str">
        <f>HYPERLINK("#PORTFOLIO!A1","PORTFOLIO")</f>
        <v>PORTFOLIO</v>
      </c>
      <c r="C28" s="19" t="s">
        <v>28</v>
      </c>
      <c r="D28" s="24" t="s">
        <v>22</v>
      </c>
    </row>
    <row r="29" spans="1:4" ht="15" customHeight="1" x14ac:dyDescent="0.3">
      <c r="A29" s="5" t="s">
        <v>29</v>
      </c>
      <c r="B29" s="5"/>
      <c r="C29" s="5"/>
      <c r="D29" s="5"/>
    </row>
    <row r="30" spans="1:4" ht="15" customHeight="1" x14ac:dyDescent="0.3">
      <c r="A30" s="17">
        <v>18</v>
      </c>
      <c r="B30" s="18" t="str">
        <f>HYPERLINK("#DASHBOARD_LOP!A1","DASHBOARD_LOP")</f>
        <v>DASHBOARD_LOP</v>
      </c>
      <c r="C30" s="19" t="s">
        <v>30</v>
      </c>
      <c r="D30" s="25" t="s">
        <v>29</v>
      </c>
    </row>
    <row r="31" spans="1:4" ht="15" customHeight="1" x14ac:dyDescent="0.3">
      <c r="A31" s="17">
        <v>19</v>
      </c>
      <c r="B31" s="18" t="str">
        <f>HYPERLINK("#DASHBOARD_TOANTRUONG!A1","DASHBOARD_TOANTRUONG")</f>
        <v>DASHBOARD_TOANTRUONG</v>
      </c>
      <c r="C31" s="19" t="s">
        <v>31</v>
      </c>
      <c r="D31" s="25" t="s">
        <v>29</v>
      </c>
    </row>
    <row r="32" spans="1:4" ht="15" customHeight="1" x14ac:dyDescent="0.35"/>
    <row r="33" spans="1:4" ht="15" customHeight="1" x14ac:dyDescent="0.3">
      <c r="A33" s="4" t="s">
        <v>32</v>
      </c>
      <c r="B33" s="4"/>
      <c r="C33" s="4"/>
      <c r="D33" s="4"/>
    </row>
  </sheetData>
  <mergeCells count="10">
    <mergeCell ref="A14:D14"/>
    <mergeCell ref="A19:D19"/>
    <mergeCell ref="A22:D22"/>
    <mergeCell ref="A29:D29"/>
    <mergeCell ref="A33:D33"/>
    <mergeCell ref="A1:D1"/>
    <mergeCell ref="A2:D2"/>
    <mergeCell ref="A3:D3"/>
    <mergeCell ref="A7:D7"/>
    <mergeCell ref="A10:D10"/>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546A"/>
  </sheetPr>
  <dimension ref="A1:F79"/>
  <sheetViews>
    <sheetView showGridLines="0" zoomScaleNormal="100" workbookViewId="0"/>
  </sheetViews>
  <sheetFormatPr defaultColWidth="8.6328125" defaultRowHeight="14.5" x14ac:dyDescent="0.35"/>
  <cols>
    <col min="1" max="1" width="110" style="14" customWidth="1"/>
    <col min="2" max="2" width="32" style="14" customWidth="1"/>
    <col min="3" max="4" width="20" style="14" customWidth="1"/>
    <col min="6" max="6" width="20" style="14" customWidth="1"/>
  </cols>
  <sheetData>
    <row r="1" spans="1:4" ht="17.25" customHeight="1" x14ac:dyDescent="0.35">
      <c r="A1" s="26" t="s">
        <v>33</v>
      </c>
      <c r="B1" s="15"/>
      <c r="C1" s="27" t="str">
        <f>HYPERLINK("#TRANGCHU!A1","⬅ Về Trang chủ")</f>
        <v>⬅ Về Trang chủ</v>
      </c>
      <c r="D1" s="15"/>
    </row>
    <row r="2" spans="1:4" ht="15" customHeight="1" x14ac:dyDescent="0.35">
      <c r="A2" s="28" t="s">
        <v>34</v>
      </c>
      <c r="B2" s="15"/>
      <c r="C2" s="15"/>
      <c r="D2" s="15"/>
    </row>
    <row r="3" spans="1:4" ht="15" customHeight="1" x14ac:dyDescent="0.35">
      <c r="A3" s="15"/>
      <c r="B3" s="15"/>
      <c r="C3" s="15"/>
      <c r="D3" s="15"/>
    </row>
    <row r="4" spans="1:4" ht="15" customHeight="1" x14ac:dyDescent="0.35">
      <c r="A4" s="29" t="s">
        <v>35</v>
      </c>
      <c r="B4" s="15"/>
      <c r="C4" s="15"/>
      <c r="D4" s="15"/>
    </row>
    <row r="5" spans="1:4" ht="15" customHeight="1" x14ac:dyDescent="0.35">
      <c r="A5" s="30" t="s">
        <v>36</v>
      </c>
      <c r="B5" s="15"/>
      <c r="C5" s="15"/>
      <c r="D5" s="15"/>
    </row>
    <row r="6" spans="1:4" ht="23.25" customHeight="1" x14ac:dyDescent="0.35">
      <c r="A6" s="30" t="s">
        <v>37</v>
      </c>
      <c r="B6" s="15"/>
      <c r="C6" s="15"/>
      <c r="D6" s="15"/>
    </row>
    <row r="7" spans="1:4" ht="15" customHeight="1" x14ac:dyDescent="0.35">
      <c r="A7" s="30" t="s">
        <v>38</v>
      </c>
      <c r="B7" s="15"/>
      <c r="C7" s="15"/>
      <c r="D7" s="15"/>
    </row>
    <row r="8" spans="1:4" ht="15" customHeight="1" x14ac:dyDescent="0.35">
      <c r="A8" s="30" t="s">
        <v>39</v>
      </c>
      <c r="B8" s="15"/>
      <c r="C8" s="15"/>
      <c r="D8" s="15"/>
    </row>
    <row r="9" spans="1:4" ht="15" customHeight="1" x14ac:dyDescent="0.35">
      <c r="A9" s="30" t="s">
        <v>40</v>
      </c>
      <c r="B9" s="15"/>
      <c r="C9" s="15"/>
      <c r="D9" s="15"/>
    </row>
    <row r="10" spans="1:4" ht="15" customHeight="1" x14ac:dyDescent="0.35">
      <c r="A10" s="30" t="s">
        <v>41</v>
      </c>
      <c r="B10" s="15"/>
      <c r="C10" s="15"/>
      <c r="D10" s="15"/>
    </row>
    <row r="11" spans="1:4" ht="15" customHeight="1" x14ac:dyDescent="0.35">
      <c r="A11" s="15"/>
      <c r="B11" s="15"/>
      <c r="C11" s="15"/>
      <c r="D11" s="15"/>
    </row>
    <row r="12" spans="1:4" ht="15" customHeight="1" x14ac:dyDescent="0.35">
      <c r="A12" s="29" t="s">
        <v>42</v>
      </c>
      <c r="B12" s="15"/>
      <c r="C12" s="15"/>
      <c r="D12" s="15"/>
    </row>
    <row r="13" spans="1:4" ht="15" customHeight="1" x14ac:dyDescent="0.35">
      <c r="A13" s="30" t="s">
        <v>43</v>
      </c>
      <c r="B13" s="15"/>
      <c r="C13" s="15"/>
      <c r="D13" s="15"/>
    </row>
    <row r="14" spans="1:4" ht="23.25" customHeight="1" x14ac:dyDescent="0.35">
      <c r="A14" s="30" t="s">
        <v>44</v>
      </c>
      <c r="B14" s="15"/>
      <c r="C14" s="15"/>
      <c r="D14" s="15"/>
    </row>
    <row r="15" spans="1:4" ht="15" customHeight="1" x14ac:dyDescent="0.35">
      <c r="A15" s="30" t="s">
        <v>45</v>
      </c>
      <c r="B15" s="15"/>
      <c r="C15" s="15"/>
      <c r="D15" s="15"/>
    </row>
    <row r="16" spans="1:4" ht="15" customHeight="1" x14ac:dyDescent="0.35">
      <c r="A16" s="30" t="s">
        <v>46</v>
      </c>
      <c r="B16" s="15"/>
      <c r="C16" s="15"/>
      <c r="D16" s="15"/>
    </row>
    <row r="17" spans="1:4" ht="15" customHeight="1" x14ac:dyDescent="0.35">
      <c r="A17" s="30" t="s">
        <v>47</v>
      </c>
      <c r="B17" s="15"/>
      <c r="C17" s="15"/>
      <c r="D17" s="15"/>
    </row>
    <row r="18" spans="1:4" ht="15" customHeight="1" x14ac:dyDescent="0.35">
      <c r="A18" s="30" t="s">
        <v>48</v>
      </c>
      <c r="B18" s="15"/>
      <c r="C18" s="15"/>
      <c r="D18" s="15"/>
    </row>
    <row r="19" spans="1:4" ht="15" customHeight="1" x14ac:dyDescent="0.35">
      <c r="A19" s="15"/>
      <c r="B19" s="15"/>
      <c r="C19" s="15"/>
      <c r="D19" s="15"/>
    </row>
    <row r="20" spans="1:4" ht="15" customHeight="1" x14ac:dyDescent="0.35">
      <c r="A20" s="29" t="s">
        <v>49</v>
      </c>
      <c r="B20" s="15"/>
      <c r="C20" s="15"/>
      <c r="D20" s="15"/>
    </row>
    <row r="21" spans="1:4" ht="23.25" customHeight="1" x14ac:dyDescent="0.35">
      <c r="A21" s="30" t="s">
        <v>50</v>
      </c>
      <c r="B21" s="15"/>
      <c r="C21" s="15"/>
      <c r="D21" s="15"/>
    </row>
    <row r="22" spans="1:4" ht="15" customHeight="1" x14ac:dyDescent="0.35">
      <c r="A22" s="30" t="s">
        <v>51</v>
      </c>
      <c r="B22" s="15"/>
      <c r="C22" s="15"/>
      <c r="D22" s="15"/>
    </row>
    <row r="23" spans="1:4" ht="15" customHeight="1" x14ac:dyDescent="0.35">
      <c r="A23" s="30" t="s">
        <v>52</v>
      </c>
      <c r="B23" s="15"/>
      <c r="C23" s="15"/>
      <c r="D23" s="15"/>
    </row>
    <row r="24" spans="1:4" ht="15" customHeight="1" x14ac:dyDescent="0.35">
      <c r="A24" s="15"/>
      <c r="B24" s="15"/>
      <c r="C24" s="15"/>
      <c r="D24" s="15"/>
    </row>
    <row r="25" spans="1:4" ht="15" customHeight="1" x14ac:dyDescent="0.35">
      <c r="A25" s="29" t="s">
        <v>53</v>
      </c>
      <c r="B25" s="15"/>
      <c r="C25" s="15"/>
      <c r="D25" s="15"/>
    </row>
    <row r="26" spans="1:4" ht="23.25" customHeight="1" x14ac:dyDescent="0.35">
      <c r="A26" s="30" t="s">
        <v>54</v>
      </c>
      <c r="B26" s="15"/>
      <c r="C26" s="15"/>
      <c r="D26" s="15"/>
    </row>
    <row r="27" spans="1:4" ht="23.25" customHeight="1" x14ac:dyDescent="0.35">
      <c r="A27" s="30" t="s">
        <v>55</v>
      </c>
      <c r="B27" s="15"/>
      <c r="C27" s="15"/>
      <c r="D27" s="15"/>
    </row>
    <row r="28" spans="1:4" ht="23.25" customHeight="1" x14ac:dyDescent="0.35">
      <c r="A28" s="30" t="s">
        <v>56</v>
      </c>
      <c r="B28" s="15"/>
      <c r="C28" s="15"/>
      <c r="D28" s="15"/>
    </row>
    <row r="29" spans="1:4" ht="15" customHeight="1" x14ac:dyDescent="0.35">
      <c r="A29" s="15"/>
      <c r="B29" s="15"/>
      <c r="C29" s="15"/>
      <c r="D29" s="15"/>
    </row>
    <row r="30" spans="1:4" ht="15" customHeight="1" x14ac:dyDescent="0.35">
      <c r="A30" s="31" t="s">
        <v>57</v>
      </c>
      <c r="B30" s="15"/>
      <c r="C30" s="15"/>
      <c r="D30" s="15"/>
    </row>
    <row r="31" spans="1:4" ht="17.25" customHeight="1" x14ac:dyDescent="0.35">
      <c r="A31" s="26" t="s">
        <v>58</v>
      </c>
      <c r="B31" s="15"/>
      <c r="C31" s="15"/>
      <c r="D31" s="15"/>
    </row>
    <row r="32" spans="1:4" ht="15" customHeight="1" x14ac:dyDescent="0.35">
      <c r="A32" s="15"/>
      <c r="B32" s="15"/>
      <c r="C32" s="15"/>
      <c r="D32" s="15"/>
    </row>
    <row r="33" spans="1:4" ht="15" customHeight="1" x14ac:dyDescent="0.35">
      <c r="A33" s="15"/>
      <c r="B33" s="15"/>
      <c r="C33" s="15"/>
      <c r="D33" s="15"/>
    </row>
    <row r="34" spans="1:4" ht="15" customHeight="1" x14ac:dyDescent="0.35">
      <c r="A34" s="29" t="s">
        <v>59</v>
      </c>
      <c r="B34" s="15"/>
      <c r="C34" s="15"/>
      <c r="D34" s="15"/>
    </row>
    <row r="35" spans="1:4" ht="15" customHeight="1" x14ac:dyDescent="0.35">
      <c r="A35" s="30" t="s">
        <v>60</v>
      </c>
      <c r="B35" s="15"/>
      <c r="C35" s="15"/>
      <c r="D35" s="15"/>
    </row>
    <row r="36" spans="1:4" ht="15" customHeight="1" x14ac:dyDescent="0.35">
      <c r="A36" s="30" t="s">
        <v>61</v>
      </c>
      <c r="B36" s="15"/>
      <c r="C36" s="15"/>
      <c r="D36" s="15"/>
    </row>
    <row r="37" spans="1:4" ht="15" customHeight="1" x14ac:dyDescent="0.35">
      <c r="A37" s="30" t="s">
        <v>62</v>
      </c>
      <c r="B37" s="15"/>
      <c r="C37" s="15"/>
      <c r="D37" s="15"/>
    </row>
    <row r="38" spans="1:4" ht="15" customHeight="1" x14ac:dyDescent="0.35">
      <c r="A38" s="30" t="s">
        <v>63</v>
      </c>
      <c r="B38" s="15"/>
      <c r="C38" s="15"/>
      <c r="D38" s="15"/>
    </row>
    <row r="39" spans="1:4" ht="23.25" customHeight="1" x14ac:dyDescent="0.35">
      <c r="A39" s="30" t="s">
        <v>64</v>
      </c>
      <c r="B39" s="15"/>
      <c r="C39" s="15"/>
      <c r="D39" s="15"/>
    </row>
    <row r="40" spans="1:4" ht="15" customHeight="1" x14ac:dyDescent="0.35">
      <c r="A40" s="30" t="s">
        <v>65</v>
      </c>
      <c r="B40" s="15"/>
      <c r="C40" s="15"/>
      <c r="D40" s="15"/>
    </row>
    <row r="41" spans="1:4" ht="15" customHeight="1" x14ac:dyDescent="0.35">
      <c r="A41" s="15"/>
      <c r="B41" s="15"/>
      <c r="C41" s="15"/>
      <c r="D41" s="15"/>
    </row>
    <row r="42" spans="1:4" ht="15" customHeight="1" x14ac:dyDescent="0.35">
      <c r="A42" s="29" t="s">
        <v>66</v>
      </c>
      <c r="B42" s="15"/>
      <c r="C42" s="15"/>
      <c r="D42" s="15"/>
    </row>
    <row r="43" spans="1:4" ht="15" customHeight="1" x14ac:dyDescent="0.35">
      <c r="A43" s="16" t="s">
        <v>67</v>
      </c>
      <c r="B43" s="16" t="s">
        <v>68</v>
      </c>
      <c r="C43" s="16" t="s">
        <v>69</v>
      </c>
      <c r="D43" s="15"/>
    </row>
    <row r="44" spans="1:4" ht="15" customHeight="1" x14ac:dyDescent="0.35">
      <c r="A44" s="32" t="s">
        <v>70</v>
      </c>
      <c r="B44" s="32" t="s">
        <v>71</v>
      </c>
      <c r="C44" s="32">
        <v>7</v>
      </c>
      <c r="D44" s="15"/>
    </row>
    <row r="45" spans="1:4" ht="15" customHeight="1" x14ac:dyDescent="0.35">
      <c r="A45" s="32" t="s">
        <v>72</v>
      </c>
      <c r="B45" s="32" t="s">
        <v>73</v>
      </c>
      <c r="C45" s="32">
        <v>8</v>
      </c>
      <c r="D45" s="15"/>
    </row>
    <row r="46" spans="1:4" ht="15" customHeight="1" x14ac:dyDescent="0.35">
      <c r="A46" s="32" t="s">
        <v>74</v>
      </c>
      <c r="B46" s="32" t="s">
        <v>75</v>
      </c>
      <c r="C46" s="32">
        <v>4</v>
      </c>
      <c r="D46" s="15"/>
    </row>
    <row r="47" spans="1:4" ht="15" customHeight="1" x14ac:dyDescent="0.35">
      <c r="A47" s="32" t="s">
        <v>76</v>
      </c>
      <c r="B47" s="32" t="s">
        <v>77</v>
      </c>
      <c r="C47" s="32">
        <v>6</v>
      </c>
      <c r="D47" s="15"/>
    </row>
    <row r="48" spans="1:4" ht="15" customHeight="1" x14ac:dyDescent="0.35">
      <c r="A48" s="32" t="s">
        <v>78</v>
      </c>
      <c r="B48" s="32" t="s">
        <v>79</v>
      </c>
      <c r="C48" s="32">
        <v>5</v>
      </c>
      <c r="D48" s="15"/>
    </row>
    <row r="49" spans="1:4" ht="15" customHeight="1" x14ac:dyDescent="0.35">
      <c r="A49" s="15"/>
      <c r="B49" s="15"/>
      <c r="C49" s="15"/>
      <c r="D49" s="15"/>
    </row>
    <row r="50" spans="1:4" ht="15" customHeight="1" x14ac:dyDescent="0.35">
      <c r="A50" s="29" t="s">
        <v>80</v>
      </c>
      <c r="B50" s="15"/>
      <c r="C50" s="15"/>
      <c r="D50" s="15"/>
    </row>
    <row r="51" spans="1:4" ht="15" customHeight="1" x14ac:dyDescent="0.35">
      <c r="A51" s="16" t="s">
        <v>81</v>
      </c>
      <c r="B51" s="16" t="s">
        <v>82</v>
      </c>
      <c r="C51" s="16" t="s">
        <v>83</v>
      </c>
      <c r="D51" s="16" t="s">
        <v>84</v>
      </c>
    </row>
    <row r="52" spans="1:4" ht="36.75" customHeight="1" x14ac:dyDescent="0.35">
      <c r="A52" s="32" t="s">
        <v>85</v>
      </c>
      <c r="B52" s="32" t="s">
        <v>86</v>
      </c>
      <c r="C52" s="32" t="s">
        <v>87</v>
      </c>
      <c r="D52" s="32" t="s">
        <v>88</v>
      </c>
    </row>
    <row r="53" spans="1:4" ht="36.75" customHeight="1" x14ac:dyDescent="0.35">
      <c r="A53" s="32" t="s">
        <v>89</v>
      </c>
      <c r="B53" s="32" t="s">
        <v>90</v>
      </c>
      <c r="C53" s="32" t="s">
        <v>91</v>
      </c>
      <c r="D53" s="32" t="s">
        <v>92</v>
      </c>
    </row>
    <row r="54" spans="1:4" ht="36.75" customHeight="1" x14ac:dyDescent="0.35">
      <c r="A54" s="32" t="s">
        <v>93</v>
      </c>
      <c r="B54" s="32" t="s">
        <v>94</v>
      </c>
      <c r="C54" s="32" t="s">
        <v>95</v>
      </c>
      <c r="D54" s="32" t="s">
        <v>96</v>
      </c>
    </row>
    <row r="55" spans="1:4" ht="15" customHeight="1" x14ac:dyDescent="0.35">
      <c r="A55" s="15"/>
      <c r="B55" s="15"/>
      <c r="C55" s="15"/>
      <c r="D55" s="15"/>
    </row>
    <row r="56" spans="1:4" ht="15" customHeight="1" x14ac:dyDescent="0.35">
      <c r="A56" s="29" t="s">
        <v>97</v>
      </c>
      <c r="B56" s="15"/>
      <c r="C56" s="15"/>
      <c r="D56" s="15"/>
    </row>
    <row r="57" spans="1:4" ht="15" customHeight="1" x14ac:dyDescent="0.35">
      <c r="A57" s="16" t="s">
        <v>67</v>
      </c>
      <c r="B57" s="16" t="s">
        <v>82</v>
      </c>
      <c r="C57" s="16" t="s">
        <v>98</v>
      </c>
      <c r="D57" s="15"/>
    </row>
    <row r="58" spans="1:4" ht="48.75" customHeight="1" x14ac:dyDescent="0.35">
      <c r="A58" s="32" t="s">
        <v>85</v>
      </c>
      <c r="B58" s="32" t="s">
        <v>99</v>
      </c>
      <c r="C58" s="32" t="s">
        <v>100</v>
      </c>
      <c r="D58" s="15"/>
    </row>
    <row r="59" spans="1:4" ht="48.75" customHeight="1" x14ac:dyDescent="0.35">
      <c r="A59" s="32" t="s">
        <v>101</v>
      </c>
      <c r="B59" s="32" t="s">
        <v>86</v>
      </c>
      <c r="C59" s="32" t="s">
        <v>102</v>
      </c>
      <c r="D59" s="15"/>
    </row>
    <row r="60" spans="1:4" ht="36.75" customHeight="1" x14ac:dyDescent="0.35">
      <c r="A60" s="32" t="s">
        <v>103</v>
      </c>
      <c r="B60" s="32" t="s">
        <v>104</v>
      </c>
      <c r="C60" s="32" t="s">
        <v>105</v>
      </c>
      <c r="D60" s="15"/>
    </row>
    <row r="61" spans="1:4" ht="48.75" customHeight="1" x14ac:dyDescent="0.35">
      <c r="A61" s="32" t="s">
        <v>106</v>
      </c>
      <c r="B61" s="32" t="s">
        <v>107</v>
      </c>
      <c r="C61" s="32" t="s">
        <v>108</v>
      </c>
      <c r="D61" s="15"/>
    </row>
    <row r="62" spans="1:4" ht="15" customHeight="1" x14ac:dyDescent="0.35">
      <c r="A62" s="15"/>
      <c r="B62" s="15"/>
      <c r="C62" s="15"/>
      <c r="D62" s="15"/>
    </row>
    <row r="63" spans="1:4" ht="15" customHeight="1" x14ac:dyDescent="0.35">
      <c r="A63" s="29" t="s">
        <v>109</v>
      </c>
      <c r="B63" s="15"/>
      <c r="C63" s="15"/>
      <c r="D63" s="15"/>
    </row>
    <row r="64" spans="1:4" ht="15" customHeight="1" x14ac:dyDescent="0.35">
      <c r="A64" s="33" t="s">
        <v>110</v>
      </c>
      <c r="B64" s="15"/>
      <c r="C64" s="15"/>
      <c r="D64" s="15"/>
    </row>
    <row r="65" spans="1:4" ht="15" customHeight="1" x14ac:dyDescent="0.35">
      <c r="A65" s="33" t="s">
        <v>111</v>
      </c>
      <c r="B65" s="15"/>
      <c r="C65" s="15"/>
      <c r="D65" s="15"/>
    </row>
    <row r="66" spans="1:4" ht="15" customHeight="1" x14ac:dyDescent="0.35">
      <c r="A66" s="34" t="s">
        <v>112</v>
      </c>
      <c r="B66" s="15"/>
      <c r="C66" s="15"/>
      <c r="D66" s="15"/>
    </row>
    <row r="69" spans="1:4" ht="17.5" x14ac:dyDescent="0.35">
      <c r="A69" s="26" t="s">
        <v>113</v>
      </c>
    </row>
    <row r="70" spans="1:4" x14ac:dyDescent="0.35">
      <c r="A70" s="28" t="s">
        <v>114</v>
      </c>
    </row>
    <row r="72" spans="1:4" x14ac:dyDescent="0.35">
      <c r="A72" s="16" t="s">
        <v>115</v>
      </c>
      <c r="B72" s="16" t="s">
        <v>116</v>
      </c>
      <c r="C72" s="16" t="s">
        <v>117</v>
      </c>
    </row>
    <row r="73" spans="1:4" ht="52" x14ac:dyDescent="0.35">
      <c r="A73" s="35" t="s">
        <v>118</v>
      </c>
      <c r="B73" s="36" t="s">
        <v>119</v>
      </c>
      <c r="C73" s="36" t="s">
        <v>120</v>
      </c>
    </row>
    <row r="74" spans="1:4" ht="78" x14ac:dyDescent="0.35">
      <c r="A74" s="35" t="s">
        <v>121</v>
      </c>
      <c r="B74" s="36" t="s">
        <v>122</v>
      </c>
      <c r="C74" s="36" t="s">
        <v>123</v>
      </c>
    </row>
    <row r="75" spans="1:4" ht="52" x14ac:dyDescent="0.35">
      <c r="A75" s="35" t="s">
        <v>124</v>
      </c>
      <c r="B75" s="36" t="s">
        <v>125</v>
      </c>
      <c r="C75" s="36" t="s">
        <v>126</v>
      </c>
    </row>
    <row r="76" spans="1:4" ht="39" x14ac:dyDescent="0.35">
      <c r="A76" s="35" t="s">
        <v>127</v>
      </c>
      <c r="B76" s="36" t="s">
        <v>128</v>
      </c>
      <c r="C76" s="36" t="s">
        <v>129</v>
      </c>
    </row>
    <row r="77" spans="1:4" ht="65" x14ac:dyDescent="0.35">
      <c r="A77" s="35" t="s">
        <v>130</v>
      </c>
      <c r="B77" s="36" t="s">
        <v>131</v>
      </c>
      <c r="C77" s="36" t="s">
        <v>132</v>
      </c>
    </row>
    <row r="78" spans="1:4" ht="117" x14ac:dyDescent="0.35">
      <c r="A78" s="35" t="s">
        <v>133</v>
      </c>
      <c r="B78" s="36" t="s">
        <v>134</v>
      </c>
      <c r="C78" s="36" t="s">
        <v>135</v>
      </c>
    </row>
    <row r="79" spans="1:4" ht="52" x14ac:dyDescent="0.35">
      <c r="A79" s="35" t="s">
        <v>136</v>
      </c>
      <c r="B79" s="36" t="s">
        <v>137</v>
      </c>
      <c r="C79" s="36" t="s">
        <v>138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L34"/>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defaultColWidth="8.6328125" defaultRowHeight="14.5" x14ac:dyDescent="0.35"/>
  <cols>
    <col min="1" max="1" width="16" style="14" customWidth="1"/>
    <col min="2" max="2" width="7" style="14" customWidth="1"/>
    <col min="3" max="3" width="24" style="14" customWidth="1"/>
    <col min="4" max="7" width="26" style="14" customWidth="1"/>
    <col min="8" max="8" width="16" style="14" customWidth="1"/>
    <col min="9" max="9" width="12" style="14" customWidth="1"/>
    <col min="11" max="12" width="20" style="14" customWidth="1"/>
  </cols>
  <sheetData>
    <row r="1" spans="1:12" ht="17.25" customHeight="1" x14ac:dyDescent="0.35">
      <c r="A1" s="37" t="s">
        <v>139</v>
      </c>
      <c r="B1" s="15"/>
      <c r="C1" s="15"/>
      <c r="D1" s="15"/>
      <c r="E1" s="15"/>
      <c r="F1" s="15"/>
      <c r="G1" s="15"/>
      <c r="H1" s="15"/>
      <c r="I1" s="15"/>
      <c r="J1" s="15"/>
      <c r="K1" s="27" t="str">
        <f>HYPERLINK("#TRANGCHU!A1","⬅ Về Trang chủ")</f>
        <v>⬅ Về Trang chủ</v>
      </c>
      <c r="L1" s="27" t="str">
        <f>HYPERLINK("#HUONGDAN!A1","📖 Về Hướng dẫn")</f>
        <v>📖 Về Hướng dẫn</v>
      </c>
    </row>
    <row r="2" spans="1:12" ht="15" customHeight="1" x14ac:dyDescent="0.3">
      <c r="A2" s="28" t="s">
        <v>140</v>
      </c>
      <c r="B2" s="15"/>
      <c r="C2" s="15"/>
      <c r="D2" s="15"/>
      <c r="E2" s="15"/>
      <c r="F2" s="15"/>
      <c r="G2" s="15"/>
      <c r="H2" s="15"/>
      <c r="I2" s="15"/>
      <c r="J2" s="15"/>
      <c r="K2" s="15"/>
      <c r="L2" s="15"/>
    </row>
    <row r="3" spans="1:12" ht="15" customHeight="1" x14ac:dyDescent="0.3">
      <c r="A3" s="15"/>
      <c r="B3" s="15"/>
      <c r="C3" s="15"/>
      <c r="D3" s="15"/>
      <c r="E3" s="15"/>
      <c r="F3" s="15"/>
      <c r="G3" s="15"/>
      <c r="H3" s="15"/>
      <c r="I3" s="15"/>
      <c r="J3" s="15"/>
      <c r="K3" s="15"/>
      <c r="L3" s="15"/>
    </row>
    <row r="4" spans="1:12" ht="15" customHeight="1" x14ac:dyDescent="0.3">
      <c r="A4" s="38" t="s">
        <v>68</v>
      </c>
      <c r="B4" s="38" t="s">
        <v>141</v>
      </c>
      <c r="C4" s="38" t="s">
        <v>142</v>
      </c>
      <c r="D4" s="38" t="s">
        <v>143</v>
      </c>
      <c r="E4" s="38" t="s">
        <v>144</v>
      </c>
      <c r="F4" s="38" t="s">
        <v>145</v>
      </c>
      <c r="G4" s="38" t="s">
        <v>146</v>
      </c>
      <c r="H4" s="38" t="s">
        <v>147</v>
      </c>
      <c r="I4" s="38" t="s">
        <v>148</v>
      </c>
      <c r="J4" s="15"/>
      <c r="K4" s="15"/>
      <c r="L4" s="15"/>
    </row>
    <row r="5" spans="1:12" ht="41.25" customHeight="1" x14ac:dyDescent="0.3">
      <c r="A5" s="39" t="s">
        <v>71</v>
      </c>
      <c r="B5" s="36" t="s">
        <v>149</v>
      </c>
      <c r="C5" s="36" t="s">
        <v>150</v>
      </c>
      <c r="D5" s="36" t="s">
        <v>151</v>
      </c>
      <c r="E5" s="36" t="s">
        <v>152</v>
      </c>
      <c r="F5" s="36" t="s">
        <v>153</v>
      </c>
      <c r="G5" s="36" t="s">
        <v>154</v>
      </c>
      <c r="H5" s="36" t="s">
        <v>155</v>
      </c>
      <c r="I5" s="36" t="s">
        <v>156</v>
      </c>
      <c r="J5" s="15"/>
      <c r="K5" s="15"/>
      <c r="L5" s="15"/>
    </row>
    <row r="6" spans="1:12" ht="41.25" customHeight="1" x14ac:dyDescent="0.3">
      <c r="A6" s="39" t="s">
        <v>71</v>
      </c>
      <c r="B6" s="36" t="s">
        <v>157</v>
      </c>
      <c r="C6" s="36" t="s">
        <v>158</v>
      </c>
      <c r="D6" s="36" t="s">
        <v>159</v>
      </c>
      <c r="E6" s="36" t="s">
        <v>160</v>
      </c>
      <c r="F6" s="36" t="s">
        <v>161</v>
      </c>
      <c r="G6" s="36" t="s">
        <v>162</v>
      </c>
      <c r="H6" s="36" t="s">
        <v>163</v>
      </c>
      <c r="I6" s="36" t="s">
        <v>164</v>
      </c>
      <c r="J6" s="15"/>
      <c r="K6" s="15"/>
      <c r="L6" s="15"/>
    </row>
    <row r="7" spans="1:12" ht="41.25" customHeight="1" x14ac:dyDescent="0.3">
      <c r="A7" s="39" t="s">
        <v>71</v>
      </c>
      <c r="B7" s="36" t="s">
        <v>165</v>
      </c>
      <c r="C7" s="36" t="s">
        <v>166</v>
      </c>
      <c r="D7" s="36" t="s">
        <v>167</v>
      </c>
      <c r="E7" s="36" t="s">
        <v>168</v>
      </c>
      <c r="F7" s="36" t="s">
        <v>169</v>
      </c>
      <c r="G7" s="36" t="s">
        <v>170</v>
      </c>
      <c r="H7" s="36" t="s">
        <v>171</v>
      </c>
      <c r="I7" s="36" t="s">
        <v>164</v>
      </c>
      <c r="J7" s="15"/>
      <c r="K7" s="15"/>
      <c r="L7" s="15"/>
    </row>
    <row r="8" spans="1:12" ht="54.75" customHeight="1" x14ac:dyDescent="0.3">
      <c r="A8" s="39" t="s">
        <v>71</v>
      </c>
      <c r="B8" s="36" t="s">
        <v>172</v>
      </c>
      <c r="C8" s="36" t="s">
        <v>173</v>
      </c>
      <c r="D8" s="36" t="s">
        <v>174</v>
      </c>
      <c r="E8" s="36" t="s">
        <v>175</v>
      </c>
      <c r="F8" s="36" t="s">
        <v>176</v>
      </c>
      <c r="G8" s="36" t="s">
        <v>177</v>
      </c>
      <c r="H8" s="36" t="s">
        <v>171</v>
      </c>
      <c r="I8" s="36" t="s">
        <v>164</v>
      </c>
      <c r="J8" s="15"/>
      <c r="K8" s="15"/>
      <c r="L8" s="15"/>
    </row>
    <row r="9" spans="1:12" ht="41.25" customHeight="1" x14ac:dyDescent="0.3">
      <c r="A9" s="39" t="s">
        <v>71</v>
      </c>
      <c r="B9" s="36" t="s">
        <v>178</v>
      </c>
      <c r="C9" s="36" t="s">
        <v>179</v>
      </c>
      <c r="D9" s="36" t="s">
        <v>180</v>
      </c>
      <c r="E9" s="36" t="s">
        <v>181</v>
      </c>
      <c r="F9" s="36" t="s">
        <v>182</v>
      </c>
      <c r="G9" s="36" t="s">
        <v>183</v>
      </c>
      <c r="H9" s="36" t="s">
        <v>171</v>
      </c>
      <c r="I9" s="36" t="s">
        <v>156</v>
      </c>
      <c r="J9" s="15"/>
      <c r="K9" s="15"/>
      <c r="L9" s="15"/>
    </row>
    <row r="10" spans="1:12" ht="54.75" customHeight="1" x14ac:dyDescent="0.3">
      <c r="A10" s="39" t="s">
        <v>71</v>
      </c>
      <c r="B10" s="36" t="s">
        <v>184</v>
      </c>
      <c r="C10" s="36" t="s">
        <v>185</v>
      </c>
      <c r="D10" s="36" t="s">
        <v>186</v>
      </c>
      <c r="E10" s="36" t="s">
        <v>187</v>
      </c>
      <c r="F10" s="36" t="s">
        <v>188</v>
      </c>
      <c r="G10" s="36" t="s">
        <v>189</v>
      </c>
      <c r="H10" s="36" t="s">
        <v>171</v>
      </c>
      <c r="I10" s="36" t="s">
        <v>156</v>
      </c>
      <c r="J10" s="15"/>
      <c r="K10" s="15"/>
      <c r="L10" s="15"/>
    </row>
    <row r="11" spans="1:12" ht="54.75" customHeight="1" x14ac:dyDescent="0.3">
      <c r="A11" s="39" t="s">
        <v>71</v>
      </c>
      <c r="B11" s="36" t="s">
        <v>190</v>
      </c>
      <c r="C11" s="36" t="s">
        <v>191</v>
      </c>
      <c r="D11" s="36" t="s">
        <v>192</v>
      </c>
      <c r="E11" s="36" t="s">
        <v>193</v>
      </c>
      <c r="F11" s="36" t="s">
        <v>194</v>
      </c>
      <c r="G11" s="36" t="s">
        <v>195</v>
      </c>
      <c r="H11" s="36" t="s">
        <v>196</v>
      </c>
      <c r="I11" s="36" t="s">
        <v>156</v>
      </c>
      <c r="J11" s="15"/>
      <c r="K11" s="15"/>
      <c r="L11" s="15"/>
    </row>
    <row r="12" spans="1:12" ht="41.25" customHeight="1" x14ac:dyDescent="0.3">
      <c r="A12" s="40" t="s">
        <v>73</v>
      </c>
      <c r="B12" s="36" t="s">
        <v>197</v>
      </c>
      <c r="C12" s="36" t="s">
        <v>198</v>
      </c>
      <c r="D12" s="36" t="s">
        <v>199</v>
      </c>
      <c r="E12" s="36" t="s">
        <v>200</v>
      </c>
      <c r="F12" s="36" t="s">
        <v>201</v>
      </c>
      <c r="G12" s="36" t="s">
        <v>202</v>
      </c>
      <c r="H12" s="36" t="s">
        <v>171</v>
      </c>
      <c r="I12" s="36" t="s">
        <v>203</v>
      </c>
      <c r="J12" s="15"/>
      <c r="K12" s="15"/>
      <c r="L12" s="15"/>
    </row>
    <row r="13" spans="1:12" ht="41.25" customHeight="1" x14ac:dyDescent="0.3">
      <c r="A13" s="40" t="s">
        <v>73</v>
      </c>
      <c r="B13" s="36" t="s">
        <v>204</v>
      </c>
      <c r="C13" s="36" t="s">
        <v>205</v>
      </c>
      <c r="D13" s="36" t="s">
        <v>206</v>
      </c>
      <c r="E13" s="36" t="s">
        <v>207</v>
      </c>
      <c r="F13" s="36" t="s">
        <v>208</v>
      </c>
      <c r="G13" s="36" t="s">
        <v>209</v>
      </c>
      <c r="H13" s="36" t="s">
        <v>155</v>
      </c>
      <c r="I13" s="36" t="s">
        <v>164</v>
      </c>
      <c r="J13" s="15"/>
      <c r="K13" s="15"/>
      <c r="L13" s="15"/>
    </row>
    <row r="14" spans="1:12" ht="41.25" customHeight="1" x14ac:dyDescent="0.3">
      <c r="A14" s="40" t="s">
        <v>73</v>
      </c>
      <c r="B14" s="36" t="s">
        <v>210</v>
      </c>
      <c r="C14" s="36" t="s">
        <v>211</v>
      </c>
      <c r="D14" s="36" t="s">
        <v>212</v>
      </c>
      <c r="E14" s="36" t="s">
        <v>213</v>
      </c>
      <c r="F14" s="36" t="s">
        <v>214</v>
      </c>
      <c r="G14" s="36" t="s">
        <v>215</v>
      </c>
      <c r="H14" s="36" t="s">
        <v>216</v>
      </c>
      <c r="I14" s="36" t="s">
        <v>217</v>
      </c>
      <c r="J14" s="15"/>
      <c r="K14" s="15"/>
      <c r="L14" s="15"/>
    </row>
    <row r="15" spans="1:12" ht="54.75" customHeight="1" x14ac:dyDescent="0.3">
      <c r="A15" s="40" t="s">
        <v>73</v>
      </c>
      <c r="B15" s="36" t="s">
        <v>218</v>
      </c>
      <c r="C15" s="36" t="s">
        <v>219</v>
      </c>
      <c r="D15" s="36" t="s">
        <v>220</v>
      </c>
      <c r="E15" s="36" t="s">
        <v>221</v>
      </c>
      <c r="F15" s="36" t="s">
        <v>222</v>
      </c>
      <c r="G15" s="36" t="s">
        <v>223</v>
      </c>
      <c r="H15" s="36" t="s">
        <v>216</v>
      </c>
      <c r="I15" s="36" t="s">
        <v>224</v>
      </c>
      <c r="J15" s="15"/>
      <c r="K15" s="15"/>
      <c r="L15" s="15"/>
    </row>
    <row r="16" spans="1:12" ht="41.25" customHeight="1" x14ac:dyDescent="0.3">
      <c r="A16" s="40" t="s">
        <v>73</v>
      </c>
      <c r="B16" s="36" t="s">
        <v>225</v>
      </c>
      <c r="C16" s="36" t="s">
        <v>226</v>
      </c>
      <c r="D16" s="36" t="s">
        <v>227</v>
      </c>
      <c r="E16" s="36" t="s">
        <v>228</v>
      </c>
      <c r="F16" s="36" t="s">
        <v>229</v>
      </c>
      <c r="G16" s="36" t="s">
        <v>230</v>
      </c>
      <c r="H16" s="36" t="s">
        <v>231</v>
      </c>
      <c r="I16" s="36" t="s">
        <v>224</v>
      </c>
      <c r="J16" s="15"/>
      <c r="K16" s="15"/>
      <c r="L16" s="15"/>
    </row>
    <row r="17" spans="1:12" ht="41.25" customHeight="1" x14ac:dyDescent="0.3">
      <c r="A17" s="40" t="s">
        <v>73</v>
      </c>
      <c r="B17" s="36" t="s">
        <v>232</v>
      </c>
      <c r="C17" s="36" t="s">
        <v>233</v>
      </c>
      <c r="D17" s="36" t="s">
        <v>234</v>
      </c>
      <c r="E17" s="36" t="s">
        <v>235</v>
      </c>
      <c r="F17" s="36" t="s">
        <v>236</v>
      </c>
      <c r="G17" s="36" t="s">
        <v>237</v>
      </c>
      <c r="H17" s="36" t="s">
        <v>233</v>
      </c>
      <c r="I17" s="36" t="s">
        <v>217</v>
      </c>
      <c r="J17" s="15"/>
      <c r="K17" s="15"/>
      <c r="L17" s="15"/>
    </row>
    <row r="18" spans="1:12" ht="54.75" customHeight="1" x14ac:dyDescent="0.3">
      <c r="A18" s="40" t="s">
        <v>73</v>
      </c>
      <c r="B18" s="36" t="s">
        <v>238</v>
      </c>
      <c r="C18" s="36" t="s">
        <v>239</v>
      </c>
      <c r="D18" s="36" t="s">
        <v>240</v>
      </c>
      <c r="E18" s="36" t="s">
        <v>241</v>
      </c>
      <c r="F18" s="36" t="s">
        <v>242</v>
      </c>
      <c r="G18" s="36" t="s">
        <v>243</v>
      </c>
      <c r="H18" s="36" t="s">
        <v>163</v>
      </c>
      <c r="I18" s="36" t="s">
        <v>217</v>
      </c>
      <c r="J18" s="15"/>
      <c r="K18" s="15"/>
      <c r="L18" s="15"/>
    </row>
    <row r="19" spans="1:12" ht="54.75" customHeight="1" x14ac:dyDescent="0.3">
      <c r="A19" s="40" t="s">
        <v>73</v>
      </c>
      <c r="B19" s="36" t="s">
        <v>244</v>
      </c>
      <c r="C19" s="36" t="s">
        <v>245</v>
      </c>
      <c r="D19" s="36" t="s">
        <v>246</v>
      </c>
      <c r="E19" s="36" t="s">
        <v>247</v>
      </c>
      <c r="F19" s="36" t="s">
        <v>248</v>
      </c>
      <c r="G19" s="36" t="s">
        <v>249</v>
      </c>
      <c r="H19" s="36" t="s">
        <v>250</v>
      </c>
      <c r="I19" s="36" t="s">
        <v>156</v>
      </c>
      <c r="J19" s="15"/>
      <c r="K19" s="15"/>
      <c r="L19" s="15"/>
    </row>
    <row r="20" spans="1:12" ht="41.25" customHeight="1" x14ac:dyDescent="0.3">
      <c r="A20" s="41" t="s">
        <v>251</v>
      </c>
      <c r="B20" s="36" t="s">
        <v>252</v>
      </c>
      <c r="C20" s="36" t="s">
        <v>253</v>
      </c>
      <c r="D20" s="36" t="s">
        <v>254</v>
      </c>
      <c r="E20" s="36" t="s">
        <v>255</v>
      </c>
      <c r="F20" s="36" t="s">
        <v>256</v>
      </c>
      <c r="G20" s="36" t="s">
        <v>257</v>
      </c>
      <c r="H20" s="36" t="s">
        <v>231</v>
      </c>
      <c r="I20" s="36" t="s">
        <v>164</v>
      </c>
      <c r="J20" s="15"/>
      <c r="K20" s="15"/>
      <c r="L20" s="15"/>
    </row>
    <row r="21" spans="1:12" ht="41.25" customHeight="1" x14ac:dyDescent="0.3">
      <c r="A21" s="41" t="s">
        <v>251</v>
      </c>
      <c r="B21" s="36" t="s">
        <v>258</v>
      </c>
      <c r="C21" s="36" t="s">
        <v>259</v>
      </c>
      <c r="D21" s="36" t="s">
        <v>260</v>
      </c>
      <c r="E21" s="36" t="s">
        <v>261</v>
      </c>
      <c r="F21" s="36" t="s">
        <v>262</v>
      </c>
      <c r="G21" s="36" t="s">
        <v>263</v>
      </c>
      <c r="H21" s="36" t="s">
        <v>231</v>
      </c>
      <c r="I21" s="36" t="s">
        <v>164</v>
      </c>
      <c r="J21" s="15"/>
      <c r="K21" s="15"/>
      <c r="L21" s="15"/>
    </row>
    <row r="22" spans="1:12" ht="41.25" customHeight="1" x14ac:dyDescent="0.3">
      <c r="A22" s="41" t="s">
        <v>251</v>
      </c>
      <c r="B22" s="36" t="s">
        <v>264</v>
      </c>
      <c r="C22" s="36" t="s">
        <v>265</v>
      </c>
      <c r="D22" s="36" t="s">
        <v>266</v>
      </c>
      <c r="E22" s="36" t="s">
        <v>267</v>
      </c>
      <c r="F22" s="36" t="s">
        <v>268</v>
      </c>
      <c r="G22" s="36" t="s">
        <v>269</v>
      </c>
      <c r="H22" s="36" t="s">
        <v>231</v>
      </c>
      <c r="I22" s="36" t="s">
        <v>164</v>
      </c>
      <c r="J22" s="15"/>
      <c r="K22" s="15"/>
      <c r="L22" s="15"/>
    </row>
    <row r="23" spans="1:12" ht="41.25" customHeight="1" x14ac:dyDescent="0.3">
      <c r="A23" s="41" t="s">
        <v>251</v>
      </c>
      <c r="B23" s="36" t="s">
        <v>270</v>
      </c>
      <c r="C23" s="36" t="s">
        <v>271</v>
      </c>
      <c r="D23" s="36" t="s">
        <v>272</v>
      </c>
      <c r="E23" s="36" t="s">
        <v>273</v>
      </c>
      <c r="F23" s="36" t="s">
        <v>274</v>
      </c>
      <c r="G23" s="36" t="s">
        <v>275</v>
      </c>
      <c r="H23" s="36" t="s">
        <v>171</v>
      </c>
      <c r="I23" s="36" t="s">
        <v>164</v>
      </c>
      <c r="J23" s="15"/>
      <c r="K23" s="15"/>
      <c r="L23" s="15"/>
    </row>
    <row r="24" spans="1:12" ht="54.75" customHeight="1" x14ac:dyDescent="0.3">
      <c r="A24" s="42" t="s">
        <v>77</v>
      </c>
      <c r="B24" s="36" t="s">
        <v>276</v>
      </c>
      <c r="C24" s="36" t="s">
        <v>277</v>
      </c>
      <c r="D24" s="36" t="s">
        <v>278</v>
      </c>
      <c r="E24" s="36" t="s">
        <v>279</v>
      </c>
      <c r="F24" s="36" t="s">
        <v>280</v>
      </c>
      <c r="G24" s="36" t="s">
        <v>281</v>
      </c>
      <c r="H24" s="36" t="s">
        <v>155</v>
      </c>
      <c r="I24" s="36" t="s">
        <v>164</v>
      </c>
      <c r="J24" s="15"/>
      <c r="K24" s="15"/>
      <c r="L24" s="15"/>
    </row>
    <row r="25" spans="1:12" ht="54.75" customHeight="1" x14ac:dyDescent="0.3">
      <c r="A25" s="42" t="s">
        <v>77</v>
      </c>
      <c r="B25" s="36" t="s">
        <v>282</v>
      </c>
      <c r="C25" s="36" t="s">
        <v>283</v>
      </c>
      <c r="D25" s="36" t="s">
        <v>284</v>
      </c>
      <c r="E25" s="36" t="s">
        <v>285</v>
      </c>
      <c r="F25" s="36" t="s">
        <v>286</v>
      </c>
      <c r="G25" s="36" t="s">
        <v>287</v>
      </c>
      <c r="H25" s="36" t="s">
        <v>250</v>
      </c>
      <c r="I25" s="36" t="s">
        <v>164</v>
      </c>
      <c r="J25" s="15"/>
      <c r="K25" s="15"/>
      <c r="L25" s="15"/>
    </row>
    <row r="26" spans="1:12" ht="41.25" customHeight="1" x14ac:dyDescent="0.3">
      <c r="A26" s="42" t="s">
        <v>77</v>
      </c>
      <c r="B26" s="36" t="s">
        <v>288</v>
      </c>
      <c r="C26" s="36" t="s">
        <v>289</v>
      </c>
      <c r="D26" s="36" t="s">
        <v>290</v>
      </c>
      <c r="E26" s="36" t="s">
        <v>291</v>
      </c>
      <c r="F26" s="36" t="s">
        <v>292</v>
      </c>
      <c r="G26" s="36" t="s">
        <v>293</v>
      </c>
      <c r="H26" s="36" t="s">
        <v>250</v>
      </c>
      <c r="I26" s="36" t="s">
        <v>164</v>
      </c>
      <c r="J26" s="15"/>
      <c r="K26" s="15"/>
      <c r="L26" s="15"/>
    </row>
    <row r="27" spans="1:12" ht="54.75" customHeight="1" x14ac:dyDescent="0.3">
      <c r="A27" s="42" t="s">
        <v>77</v>
      </c>
      <c r="B27" s="36" t="s">
        <v>294</v>
      </c>
      <c r="C27" s="36" t="s">
        <v>295</v>
      </c>
      <c r="D27" s="36" t="s">
        <v>296</v>
      </c>
      <c r="E27" s="36" t="s">
        <v>297</v>
      </c>
      <c r="F27" s="36" t="s">
        <v>298</v>
      </c>
      <c r="G27" s="36" t="s">
        <v>299</v>
      </c>
      <c r="H27" s="36" t="s">
        <v>196</v>
      </c>
      <c r="I27" s="36" t="s">
        <v>164</v>
      </c>
      <c r="J27" s="15"/>
      <c r="K27" s="15"/>
      <c r="L27" s="15"/>
    </row>
    <row r="28" spans="1:12" ht="54.75" customHeight="1" x14ac:dyDescent="0.3">
      <c r="A28" s="42" t="s">
        <v>77</v>
      </c>
      <c r="B28" s="36" t="s">
        <v>300</v>
      </c>
      <c r="C28" s="36" t="s">
        <v>301</v>
      </c>
      <c r="D28" s="36" t="s">
        <v>302</v>
      </c>
      <c r="E28" s="36" t="s">
        <v>303</v>
      </c>
      <c r="F28" s="36" t="s">
        <v>304</v>
      </c>
      <c r="G28" s="36" t="s">
        <v>305</v>
      </c>
      <c r="H28" s="36" t="s">
        <v>250</v>
      </c>
      <c r="I28" s="36" t="s">
        <v>164</v>
      </c>
      <c r="J28" s="15"/>
      <c r="K28" s="15"/>
      <c r="L28" s="15"/>
    </row>
    <row r="29" spans="1:12" ht="54.75" customHeight="1" x14ac:dyDescent="0.3">
      <c r="A29" s="42" t="s">
        <v>77</v>
      </c>
      <c r="B29" s="36" t="s">
        <v>306</v>
      </c>
      <c r="C29" s="36" t="s">
        <v>307</v>
      </c>
      <c r="D29" s="36" t="s">
        <v>308</v>
      </c>
      <c r="E29" s="36" t="s">
        <v>309</v>
      </c>
      <c r="F29" s="36" t="s">
        <v>310</v>
      </c>
      <c r="G29" s="36" t="s">
        <v>311</v>
      </c>
      <c r="H29" s="36" t="s">
        <v>163</v>
      </c>
      <c r="I29" s="36" t="s">
        <v>156</v>
      </c>
      <c r="J29" s="15"/>
      <c r="K29" s="15"/>
      <c r="L29" s="15"/>
    </row>
    <row r="30" spans="1:12" ht="54.75" customHeight="1" x14ac:dyDescent="0.3">
      <c r="A30" s="43" t="s">
        <v>312</v>
      </c>
      <c r="B30" s="36" t="s">
        <v>313</v>
      </c>
      <c r="C30" s="36" t="s">
        <v>314</v>
      </c>
      <c r="D30" s="36" t="s">
        <v>315</v>
      </c>
      <c r="E30" s="36" t="s">
        <v>316</v>
      </c>
      <c r="F30" s="36" t="s">
        <v>317</v>
      </c>
      <c r="G30" s="36" t="s">
        <v>318</v>
      </c>
      <c r="H30" s="36" t="s">
        <v>164</v>
      </c>
      <c r="I30" s="36" t="s">
        <v>224</v>
      </c>
      <c r="J30" s="15"/>
      <c r="K30" s="15"/>
      <c r="L30" s="15"/>
    </row>
    <row r="31" spans="1:12" ht="41.25" customHeight="1" x14ac:dyDescent="0.3">
      <c r="A31" s="43" t="s">
        <v>312</v>
      </c>
      <c r="B31" s="36" t="s">
        <v>319</v>
      </c>
      <c r="C31" s="36" t="s">
        <v>320</v>
      </c>
      <c r="D31" s="36" t="s">
        <v>321</v>
      </c>
      <c r="E31" s="36" t="s">
        <v>322</v>
      </c>
      <c r="F31" s="36" t="s">
        <v>323</v>
      </c>
      <c r="G31" s="36" t="s">
        <v>324</v>
      </c>
      <c r="H31" s="36" t="s">
        <v>231</v>
      </c>
      <c r="I31" s="36" t="s">
        <v>164</v>
      </c>
      <c r="J31" s="15"/>
      <c r="K31" s="15"/>
      <c r="L31" s="15"/>
    </row>
    <row r="32" spans="1:12" ht="41.25" customHeight="1" x14ac:dyDescent="0.3">
      <c r="A32" s="43" t="s">
        <v>312</v>
      </c>
      <c r="B32" s="36" t="s">
        <v>325</v>
      </c>
      <c r="C32" s="36" t="s">
        <v>326</v>
      </c>
      <c r="D32" s="36" t="s">
        <v>327</v>
      </c>
      <c r="E32" s="36" t="s">
        <v>328</v>
      </c>
      <c r="F32" s="36" t="s">
        <v>329</v>
      </c>
      <c r="G32" s="36" t="s">
        <v>330</v>
      </c>
      <c r="H32" s="36" t="s">
        <v>164</v>
      </c>
      <c r="I32" s="36" t="s">
        <v>164</v>
      </c>
      <c r="J32" s="15"/>
      <c r="K32" s="15"/>
      <c r="L32" s="15"/>
    </row>
    <row r="33" spans="1:12" ht="41.25" customHeight="1" x14ac:dyDescent="0.3">
      <c r="A33" s="43" t="s">
        <v>312</v>
      </c>
      <c r="B33" s="36" t="s">
        <v>331</v>
      </c>
      <c r="C33" s="36" t="s">
        <v>332</v>
      </c>
      <c r="D33" s="36" t="s">
        <v>333</v>
      </c>
      <c r="E33" s="36" t="s">
        <v>334</v>
      </c>
      <c r="F33" s="36" t="s">
        <v>335</v>
      </c>
      <c r="G33" s="36" t="s">
        <v>336</v>
      </c>
      <c r="H33" s="36" t="s">
        <v>164</v>
      </c>
      <c r="I33" s="36" t="s">
        <v>164</v>
      </c>
      <c r="J33" s="15"/>
      <c r="K33" s="15"/>
      <c r="L33" s="15"/>
    </row>
    <row r="34" spans="1:12" ht="41.25" customHeight="1" x14ac:dyDescent="0.3">
      <c r="A34" s="43" t="s">
        <v>312</v>
      </c>
      <c r="B34" s="36" t="s">
        <v>337</v>
      </c>
      <c r="C34" s="36" t="s">
        <v>338</v>
      </c>
      <c r="D34" s="36" t="s">
        <v>339</v>
      </c>
      <c r="E34" s="36" t="s">
        <v>340</v>
      </c>
      <c r="F34" s="36" t="s">
        <v>341</v>
      </c>
      <c r="G34" s="36" t="s">
        <v>342</v>
      </c>
      <c r="H34" s="36" t="s">
        <v>233</v>
      </c>
      <c r="I34" s="36" t="s">
        <v>164</v>
      </c>
      <c r="J34" s="15"/>
      <c r="K34" s="15"/>
      <c r="L34" s="15"/>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sheetPr>
  <dimension ref="A1:K35"/>
  <sheetViews>
    <sheetView showGridLines="0" tabSelected="1" zoomScaleNormal="100" workbookViewId="0">
      <selection activeCell="E6" sqref="E6"/>
    </sheetView>
  </sheetViews>
  <sheetFormatPr defaultColWidth="8.6328125" defaultRowHeight="14.5" x14ac:dyDescent="0.35"/>
  <cols>
    <col min="1" max="1" width="7" style="14" customWidth="1"/>
    <col min="2" max="2" width="22" style="14" customWidth="1"/>
    <col min="3" max="8" width="20" style="14" customWidth="1"/>
    <col min="10" max="11" width="20" style="14" customWidth="1"/>
  </cols>
  <sheetData>
    <row r="1" spans="1:11" ht="17.25" customHeight="1" x14ac:dyDescent="0.35">
      <c r="A1" s="37" t="s">
        <v>343</v>
      </c>
      <c r="B1" s="15"/>
      <c r="C1" s="15"/>
      <c r="D1" s="15"/>
      <c r="E1" s="15"/>
      <c r="F1" s="15"/>
      <c r="G1" s="15"/>
      <c r="H1" s="15"/>
      <c r="I1" s="15"/>
      <c r="J1" s="27" t="str">
        <f>HYPERLINK("#TRANGCHU!A1","⬅ Về Trang chủ")</f>
        <v>⬅ Về Trang chủ</v>
      </c>
      <c r="K1" s="27" t="str">
        <f>HYPERLINK("#HUONGDAN!A1","📖 Về Hướng dẫn")</f>
        <v>📖 Về Hướng dẫn</v>
      </c>
    </row>
    <row r="2" spans="1:11" ht="15" customHeight="1" x14ac:dyDescent="0.3">
      <c r="A2" s="28" t="s">
        <v>344</v>
      </c>
      <c r="B2" s="15"/>
      <c r="C2" s="15"/>
      <c r="D2" s="15"/>
      <c r="E2" s="15"/>
      <c r="F2" s="15"/>
      <c r="G2" s="15"/>
      <c r="H2" s="15"/>
      <c r="I2" s="15"/>
      <c r="J2" s="15"/>
      <c r="K2" s="15"/>
    </row>
    <row r="3" spans="1:11" ht="15" customHeight="1" x14ac:dyDescent="0.3">
      <c r="A3" s="44" t="s">
        <v>345</v>
      </c>
      <c r="B3" s="15"/>
      <c r="C3" s="15"/>
      <c r="D3" s="15"/>
      <c r="E3" s="15"/>
      <c r="F3" s="15"/>
      <c r="G3" s="15"/>
      <c r="H3" s="15"/>
      <c r="I3" s="15"/>
      <c r="J3" s="15"/>
      <c r="K3" s="15"/>
    </row>
    <row r="4" spans="1:11" ht="15" customHeight="1" x14ac:dyDescent="0.3">
      <c r="A4" s="15"/>
      <c r="B4" s="15"/>
      <c r="C4" s="15"/>
      <c r="D4" s="15"/>
      <c r="E4" s="15"/>
      <c r="F4" s="15"/>
      <c r="G4" s="15"/>
      <c r="H4" s="15"/>
      <c r="I4" s="15"/>
      <c r="J4" s="15"/>
      <c r="K4" s="15"/>
    </row>
    <row r="5" spans="1:11" ht="15" customHeight="1" x14ac:dyDescent="0.3">
      <c r="A5" s="38" t="s">
        <v>141</v>
      </c>
      <c r="B5" s="38" t="s">
        <v>142</v>
      </c>
      <c r="C5" s="38" t="s">
        <v>346</v>
      </c>
      <c r="D5" s="38" t="s">
        <v>347</v>
      </c>
      <c r="E5" s="38" t="s">
        <v>348</v>
      </c>
      <c r="F5" s="38" t="s">
        <v>349</v>
      </c>
      <c r="G5" s="38" t="s">
        <v>350</v>
      </c>
      <c r="H5" s="38" t="s">
        <v>351</v>
      </c>
      <c r="I5" s="15"/>
      <c r="J5" s="15"/>
      <c r="K5" s="15"/>
    </row>
    <row r="6" spans="1:11" ht="68.25" customHeight="1" x14ac:dyDescent="0.3">
      <c r="A6" s="36" t="s">
        <v>149</v>
      </c>
      <c r="B6" s="36" t="s">
        <v>150</v>
      </c>
      <c r="C6" s="36" t="s">
        <v>352</v>
      </c>
      <c r="D6" s="36" t="s">
        <v>353</v>
      </c>
      <c r="E6" s="36" t="s">
        <v>354</v>
      </c>
      <c r="F6" s="36" t="s">
        <v>355</v>
      </c>
      <c r="G6" s="36" t="s">
        <v>356</v>
      </c>
      <c r="H6" s="36" t="s">
        <v>357</v>
      </c>
      <c r="I6" s="15"/>
      <c r="J6" s="15"/>
      <c r="K6" s="15"/>
    </row>
    <row r="7" spans="1:11" ht="54.75" customHeight="1" x14ac:dyDescent="0.3">
      <c r="A7" s="36" t="s">
        <v>157</v>
      </c>
      <c r="B7" s="36" t="s">
        <v>158</v>
      </c>
      <c r="C7" s="36" t="s">
        <v>358</v>
      </c>
      <c r="D7" s="36" t="s">
        <v>359</v>
      </c>
      <c r="E7" s="36" t="s">
        <v>360</v>
      </c>
      <c r="F7" s="36" t="s">
        <v>361</v>
      </c>
      <c r="G7" s="36" t="s">
        <v>362</v>
      </c>
      <c r="H7" s="36" t="s">
        <v>363</v>
      </c>
      <c r="I7" s="15"/>
      <c r="J7" s="15"/>
      <c r="K7" s="15"/>
    </row>
    <row r="8" spans="1:11" ht="68.25" customHeight="1" x14ac:dyDescent="0.3">
      <c r="A8" s="36" t="s">
        <v>165</v>
      </c>
      <c r="B8" s="36" t="s">
        <v>166</v>
      </c>
      <c r="C8" s="36" t="s">
        <v>364</v>
      </c>
      <c r="D8" s="36" t="s">
        <v>365</v>
      </c>
      <c r="E8" s="36" t="s">
        <v>366</v>
      </c>
      <c r="F8" s="36" t="s">
        <v>367</v>
      </c>
      <c r="G8" s="36" t="s">
        <v>368</v>
      </c>
      <c r="H8" s="36" t="s">
        <v>369</v>
      </c>
      <c r="I8" s="15"/>
      <c r="J8" s="15"/>
      <c r="K8" s="15"/>
    </row>
    <row r="9" spans="1:11" ht="54.75" customHeight="1" x14ac:dyDescent="0.3">
      <c r="A9" s="36" t="s">
        <v>172</v>
      </c>
      <c r="B9" s="36" t="s">
        <v>173</v>
      </c>
      <c r="C9" s="36" t="s">
        <v>370</v>
      </c>
      <c r="D9" s="36" t="s">
        <v>371</v>
      </c>
      <c r="E9" s="36" t="s">
        <v>372</v>
      </c>
      <c r="F9" s="36" t="s">
        <v>373</v>
      </c>
      <c r="G9" s="36" t="s">
        <v>374</v>
      </c>
      <c r="H9" s="36" t="s">
        <v>375</v>
      </c>
      <c r="I9" s="15"/>
      <c r="J9" s="15"/>
      <c r="K9" s="15"/>
    </row>
    <row r="10" spans="1:11" ht="41.25" customHeight="1" x14ac:dyDescent="0.3">
      <c r="A10" s="36" t="s">
        <v>178</v>
      </c>
      <c r="B10" s="36" t="s">
        <v>179</v>
      </c>
      <c r="C10" s="36" t="s">
        <v>376</v>
      </c>
      <c r="D10" s="36" t="s">
        <v>377</v>
      </c>
      <c r="E10" s="36" t="s">
        <v>378</v>
      </c>
      <c r="F10" s="36" t="s">
        <v>379</v>
      </c>
      <c r="G10" s="36" t="s">
        <v>380</v>
      </c>
      <c r="H10" s="36" t="s">
        <v>381</v>
      </c>
      <c r="I10" s="15"/>
      <c r="J10" s="15"/>
      <c r="K10" s="15"/>
    </row>
    <row r="11" spans="1:11" ht="54.75" customHeight="1" x14ac:dyDescent="0.3">
      <c r="A11" s="36" t="s">
        <v>184</v>
      </c>
      <c r="B11" s="36" t="s">
        <v>185</v>
      </c>
      <c r="C11" s="36" t="s">
        <v>382</v>
      </c>
      <c r="D11" s="36" t="s">
        <v>383</v>
      </c>
      <c r="E11" s="36" t="s">
        <v>384</v>
      </c>
      <c r="F11" s="36" t="s">
        <v>385</v>
      </c>
      <c r="G11" s="36" t="s">
        <v>386</v>
      </c>
      <c r="H11" s="36" t="s">
        <v>387</v>
      </c>
      <c r="I11" s="15"/>
      <c r="J11" s="15"/>
      <c r="K11" s="15"/>
    </row>
    <row r="12" spans="1:11" ht="54.75" customHeight="1" x14ac:dyDescent="0.3">
      <c r="A12" s="36" t="s">
        <v>190</v>
      </c>
      <c r="B12" s="36" t="s">
        <v>191</v>
      </c>
      <c r="C12" s="36" t="s">
        <v>388</v>
      </c>
      <c r="D12" s="36" t="s">
        <v>389</v>
      </c>
      <c r="E12" s="36" t="s">
        <v>390</v>
      </c>
      <c r="F12" s="36" t="s">
        <v>391</v>
      </c>
      <c r="G12" s="36" t="s">
        <v>392</v>
      </c>
      <c r="H12" s="36" t="s">
        <v>393</v>
      </c>
      <c r="I12" s="15"/>
      <c r="J12" s="15"/>
      <c r="K12" s="15"/>
    </row>
    <row r="13" spans="1:11" ht="54.75" customHeight="1" x14ac:dyDescent="0.3">
      <c r="A13" s="36" t="s">
        <v>197</v>
      </c>
      <c r="B13" s="36" t="s">
        <v>198</v>
      </c>
      <c r="C13" s="36" t="s">
        <v>394</v>
      </c>
      <c r="D13" s="36" t="s">
        <v>395</v>
      </c>
      <c r="E13" s="36" t="s">
        <v>396</v>
      </c>
      <c r="F13" s="36" t="s">
        <v>397</v>
      </c>
      <c r="G13" s="36" t="s">
        <v>398</v>
      </c>
      <c r="H13" s="36" t="s">
        <v>399</v>
      </c>
      <c r="I13" s="15"/>
      <c r="J13" s="15"/>
      <c r="K13" s="15"/>
    </row>
    <row r="14" spans="1:11" ht="54.75" customHeight="1" x14ac:dyDescent="0.3">
      <c r="A14" s="36" t="s">
        <v>204</v>
      </c>
      <c r="B14" s="36" t="s">
        <v>205</v>
      </c>
      <c r="C14" s="36" t="s">
        <v>400</v>
      </c>
      <c r="D14" s="36" t="s">
        <v>401</v>
      </c>
      <c r="E14" s="36" t="s">
        <v>402</v>
      </c>
      <c r="F14" s="36" t="s">
        <v>403</v>
      </c>
      <c r="G14" s="36" t="s">
        <v>404</v>
      </c>
      <c r="H14" s="36" t="s">
        <v>405</v>
      </c>
      <c r="I14" s="15"/>
      <c r="J14" s="15"/>
      <c r="K14" s="15"/>
    </row>
    <row r="15" spans="1:11" ht="68.25" customHeight="1" x14ac:dyDescent="0.3">
      <c r="A15" s="36" t="s">
        <v>210</v>
      </c>
      <c r="B15" s="36" t="s">
        <v>211</v>
      </c>
      <c r="C15" s="36" t="s">
        <v>406</v>
      </c>
      <c r="D15" s="36" t="s">
        <v>407</v>
      </c>
      <c r="E15" s="36" t="s">
        <v>408</v>
      </c>
      <c r="F15" s="36" t="s">
        <v>409</v>
      </c>
      <c r="G15" s="36" t="s">
        <v>410</v>
      </c>
      <c r="H15" s="36" t="s">
        <v>411</v>
      </c>
      <c r="I15" s="15"/>
      <c r="J15" s="15"/>
      <c r="K15" s="15"/>
    </row>
    <row r="16" spans="1:11" ht="54.75" customHeight="1" x14ac:dyDescent="0.3">
      <c r="A16" s="36" t="s">
        <v>218</v>
      </c>
      <c r="B16" s="36" t="s">
        <v>219</v>
      </c>
      <c r="C16" s="36" t="s">
        <v>412</v>
      </c>
      <c r="D16" s="36" t="s">
        <v>413</v>
      </c>
      <c r="E16" s="36" t="s">
        <v>414</v>
      </c>
      <c r="F16" s="36" t="s">
        <v>415</v>
      </c>
      <c r="G16" s="36" t="s">
        <v>416</v>
      </c>
      <c r="H16" s="36" t="s">
        <v>417</v>
      </c>
      <c r="I16" s="15"/>
      <c r="J16" s="15"/>
      <c r="K16" s="15"/>
    </row>
    <row r="17" spans="1:11" ht="54.75" customHeight="1" x14ac:dyDescent="0.3">
      <c r="A17" s="36" t="s">
        <v>225</v>
      </c>
      <c r="B17" s="36" t="s">
        <v>226</v>
      </c>
      <c r="C17" s="36" t="s">
        <v>418</v>
      </c>
      <c r="D17" s="36" t="s">
        <v>419</v>
      </c>
      <c r="E17" s="36" t="s">
        <v>420</v>
      </c>
      <c r="F17" s="36" t="s">
        <v>421</v>
      </c>
      <c r="G17" s="36" t="s">
        <v>422</v>
      </c>
      <c r="H17" s="36" t="s">
        <v>423</v>
      </c>
      <c r="I17" s="15"/>
      <c r="J17" s="15"/>
      <c r="K17" s="15"/>
    </row>
    <row r="18" spans="1:11" ht="41.25" customHeight="1" x14ac:dyDescent="0.3">
      <c r="A18" s="36" t="s">
        <v>232</v>
      </c>
      <c r="B18" s="36" t="s">
        <v>233</v>
      </c>
      <c r="C18" s="36" t="s">
        <v>424</v>
      </c>
      <c r="D18" s="36" t="s">
        <v>425</v>
      </c>
      <c r="E18" s="36" t="s">
        <v>426</v>
      </c>
      <c r="F18" s="36" t="s">
        <v>427</v>
      </c>
      <c r="G18" s="36" t="s">
        <v>428</v>
      </c>
      <c r="H18" s="36" t="s">
        <v>429</v>
      </c>
      <c r="I18" s="15"/>
      <c r="J18" s="15"/>
      <c r="K18" s="15"/>
    </row>
    <row r="19" spans="1:11" ht="68.25" customHeight="1" x14ac:dyDescent="0.3">
      <c r="A19" s="36" t="s">
        <v>238</v>
      </c>
      <c r="B19" s="36" t="s">
        <v>239</v>
      </c>
      <c r="C19" s="36" t="s">
        <v>430</v>
      </c>
      <c r="D19" s="36" t="s">
        <v>431</v>
      </c>
      <c r="E19" s="36" t="s">
        <v>432</v>
      </c>
      <c r="F19" s="36" t="s">
        <v>433</v>
      </c>
      <c r="G19" s="36" t="s">
        <v>434</v>
      </c>
      <c r="H19" s="36" t="s">
        <v>435</v>
      </c>
      <c r="I19" s="15"/>
      <c r="J19" s="15"/>
      <c r="K19" s="15"/>
    </row>
    <row r="20" spans="1:11" ht="54.75" customHeight="1" x14ac:dyDescent="0.3">
      <c r="A20" s="36" t="s">
        <v>244</v>
      </c>
      <c r="B20" s="36" t="s">
        <v>245</v>
      </c>
      <c r="C20" s="36" t="s">
        <v>436</v>
      </c>
      <c r="D20" s="36" t="s">
        <v>437</v>
      </c>
      <c r="E20" s="36" t="s">
        <v>438</v>
      </c>
      <c r="F20" s="36" t="s">
        <v>439</v>
      </c>
      <c r="G20" s="36" t="s">
        <v>440</v>
      </c>
      <c r="H20" s="36" t="s">
        <v>441</v>
      </c>
      <c r="I20" s="15"/>
      <c r="J20" s="15"/>
      <c r="K20" s="15"/>
    </row>
    <row r="21" spans="1:11" ht="41.25" customHeight="1" x14ac:dyDescent="0.3">
      <c r="A21" s="36" t="s">
        <v>252</v>
      </c>
      <c r="B21" s="36" t="s">
        <v>253</v>
      </c>
      <c r="C21" s="36" t="s">
        <v>442</v>
      </c>
      <c r="D21" s="36" t="s">
        <v>443</v>
      </c>
      <c r="E21" s="36" t="s">
        <v>444</v>
      </c>
      <c r="F21" s="36" t="s">
        <v>445</v>
      </c>
      <c r="G21" s="36" t="s">
        <v>446</v>
      </c>
      <c r="H21" s="36" t="s">
        <v>447</v>
      </c>
      <c r="I21" s="15"/>
      <c r="J21" s="15"/>
      <c r="K21" s="15"/>
    </row>
    <row r="22" spans="1:11" ht="54.75" customHeight="1" x14ac:dyDescent="0.3">
      <c r="A22" s="36" t="s">
        <v>258</v>
      </c>
      <c r="B22" s="36" t="s">
        <v>259</v>
      </c>
      <c r="C22" s="36" t="s">
        <v>448</v>
      </c>
      <c r="D22" s="36" t="s">
        <v>449</v>
      </c>
      <c r="E22" s="36" t="s">
        <v>450</v>
      </c>
      <c r="F22" s="36" t="s">
        <v>451</v>
      </c>
      <c r="G22" s="36" t="s">
        <v>452</v>
      </c>
      <c r="H22" s="36" t="s">
        <v>453</v>
      </c>
      <c r="I22" s="15"/>
      <c r="J22" s="15"/>
      <c r="K22" s="15"/>
    </row>
    <row r="23" spans="1:11" ht="54.75" customHeight="1" x14ac:dyDescent="0.3">
      <c r="A23" s="36" t="s">
        <v>264</v>
      </c>
      <c r="B23" s="36" t="s">
        <v>265</v>
      </c>
      <c r="C23" s="36" t="s">
        <v>454</v>
      </c>
      <c r="D23" s="36" t="s">
        <v>455</v>
      </c>
      <c r="E23" s="36" t="s">
        <v>456</v>
      </c>
      <c r="F23" s="36" t="s">
        <v>457</v>
      </c>
      <c r="G23" s="36" t="s">
        <v>458</v>
      </c>
      <c r="H23" s="36" t="s">
        <v>459</v>
      </c>
      <c r="I23" s="15"/>
      <c r="J23" s="15"/>
      <c r="K23" s="15"/>
    </row>
    <row r="24" spans="1:11" ht="54.75" customHeight="1" x14ac:dyDescent="0.3">
      <c r="A24" s="36" t="s">
        <v>270</v>
      </c>
      <c r="B24" s="36" t="s">
        <v>271</v>
      </c>
      <c r="C24" s="36" t="s">
        <v>460</v>
      </c>
      <c r="D24" s="36" t="s">
        <v>461</v>
      </c>
      <c r="E24" s="36" t="s">
        <v>462</v>
      </c>
      <c r="F24" s="36" t="s">
        <v>463</v>
      </c>
      <c r="G24" s="36" t="s">
        <v>464</v>
      </c>
      <c r="H24" s="36" t="s">
        <v>465</v>
      </c>
      <c r="I24" s="15"/>
      <c r="J24" s="15"/>
      <c r="K24" s="15"/>
    </row>
    <row r="25" spans="1:11" ht="54.75" customHeight="1" x14ac:dyDescent="0.3">
      <c r="A25" s="36" t="s">
        <v>276</v>
      </c>
      <c r="B25" s="36" t="s">
        <v>277</v>
      </c>
      <c r="C25" s="36" t="s">
        <v>466</v>
      </c>
      <c r="D25" s="36" t="s">
        <v>467</v>
      </c>
      <c r="E25" s="36" t="s">
        <v>468</v>
      </c>
      <c r="F25" s="36" t="s">
        <v>469</v>
      </c>
      <c r="G25" s="36" t="s">
        <v>470</v>
      </c>
      <c r="H25" s="36" t="s">
        <v>471</v>
      </c>
      <c r="I25" s="15"/>
      <c r="J25" s="15"/>
      <c r="K25" s="15"/>
    </row>
    <row r="26" spans="1:11" ht="68.25" customHeight="1" x14ac:dyDescent="0.3">
      <c r="A26" s="36" t="s">
        <v>282</v>
      </c>
      <c r="B26" s="36" t="s">
        <v>283</v>
      </c>
      <c r="C26" s="36" t="s">
        <v>472</v>
      </c>
      <c r="D26" s="36" t="s">
        <v>473</v>
      </c>
      <c r="E26" s="36" t="s">
        <v>474</v>
      </c>
      <c r="F26" s="36" t="s">
        <v>475</v>
      </c>
      <c r="G26" s="36" t="s">
        <v>476</v>
      </c>
      <c r="H26" s="36" t="s">
        <v>477</v>
      </c>
      <c r="I26" s="15"/>
      <c r="J26" s="15"/>
      <c r="K26" s="15"/>
    </row>
    <row r="27" spans="1:11" ht="68.25" customHeight="1" x14ac:dyDescent="0.3">
      <c r="A27" s="36" t="s">
        <v>288</v>
      </c>
      <c r="B27" s="36" t="s">
        <v>289</v>
      </c>
      <c r="C27" s="36" t="s">
        <v>478</v>
      </c>
      <c r="D27" s="36" t="s">
        <v>479</v>
      </c>
      <c r="E27" s="36" t="s">
        <v>480</v>
      </c>
      <c r="F27" s="36" t="s">
        <v>481</v>
      </c>
      <c r="G27" s="36" t="s">
        <v>482</v>
      </c>
      <c r="H27" s="36" t="s">
        <v>483</v>
      </c>
      <c r="I27" s="15"/>
      <c r="J27" s="15"/>
      <c r="K27" s="15"/>
    </row>
    <row r="28" spans="1:11" ht="41.25" customHeight="1" x14ac:dyDescent="0.3">
      <c r="A28" s="36" t="s">
        <v>294</v>
      </c>
      <c r="B28" s="36" t="s">
        <v>295</v>
      </c>
      <c r="C28" s="36" t="s">
        <v>484</v>
      </c>
      <c r="D28" s="36" t="s">
        <v>485</v>
      </c>
      <c r="E28" s="36" t="s">
        <v>486</v>
      </c>
      <c r="F28" s="36" t="s">
        <v>487</v>
      </c>
      <c r="G28" s="36" t="s">
        <v>488</v>
      </c>
      <c r="H28" s="36" t="s">
        <v>489</v>
      </c>
      <c r="I28" s="15"/>
      <c r="J28" s="15"/>
      <c r="K28" s="15"/>
    </row>
    <row r="29" spans="1:11" ht="54.75" customHeight="1" x14ac:dyDescent="0.3">
      <c r="A29" s="36" t="s">
        <v>300</v>
      </c>
      <c r="B29" s="36" t="s">
        <v>301</v>
      </c>
      <c r="C29" s="36" t="s">
        <v>490</v>
      </c>
      <c r="D29" s="36" t="s">
        <v>491</v>
      </c>
      <c r="E29" s="36" t="s">
        <v>492</v>
      </c>
      <c r="F29" s="36" t="s">
        <v>493</v>
      </c>
      <c r="G29" s="36" t="s">
        <v>494</v>
      </c>
      <c r="H29" s="36" t="s">
        <v>495</v>
      </c>
      <c r="I29" s="15"/>
      <c r="J29" s="15"/>
      <c r="K29" s="15"/>
    </row>
    <row r="30" spans="1:11" ht="68.25" customHeight="1" x14ac:dyDescent="0.3">
      <c r="A30" s="36" t="s">
        <v>306</v>
      </c>
      <c r="B30" s="36" t="s">
        <v>307</v>
      </c>
      <c r="C30" s="36" t="s">
        <v>496</v>
      </c>
      <c r="D30" s="36" t="s">
        <v>497</v>
      </c>
      <c r="E30" s="36" t="s">
        <v>498</v>
      </c>
      <c r="F30" s="36" t="s">
        <v>499</v>
      </c>
      <c r="G30" s="36" t="s">
        <v>500</v>
      </c>
      <c r="H30" s="36" t="s">
        <v>501</v>
      </c>
      <c r="I30" s="15"/>
      <c r="J30" s="15"/>
      <c r="K30" s="15"/>
    </row>
    <row r="31" spans="1:11" ht="68.25" customHeight="1" x14ac:dyDescent="0.3">
      <c r="A31" s="36" t="s">
        <v>313</v>
      </c>
      <c r="B31" s="36" t="s">
        <v>314</v>
      </c>
      <c r="C31" s="36" t="s">
        <v>502</v>
      </c>
      <c r="D31" s="36" t="s">
        <v>503</v>
      </c>
      <c r="E31" s="36" t="s">
        <v>504</v>
      </c>
      <c r="F31" s="36" t="s">
        <v>505</v>
      </c>
      <c r="G31" s="36" t="s">
        <v>506</v>
      </c>
      <c r="H31" s="36" t="s">
        <v>507</v>
      </c>
      <c r="I31" s="15"/>
      <c r="J31" s="15"/>
      <c r="K31" s="15"/>
    </row>
    <row r="32" spans="1:11" ht="54.75" customHeight="1" x14ac:dyDescent="0.3">
      <c r="A32" s="36" t="s">
        <v>319</v>
      </c>
      <c r="B32" s="36" t="s">
        <v>320</v>
      </c>
      <c r="C32" s="36" t="s">
        <v>508</v>
      </c>
      <c r="D32" s="36" t="s">
        <v>509</v>
      </c>
      <c r="E32" s="36" t="s">
        <v>510</v>
      </c>
      <c r="F32" s="36" t="s">
        <v>511</v>
      </c>
      <c r="G32" s="36" t="s">
        <v>512</v>
      </c>
      <c r="H32" s="36" t="s">
        <v>513</v>
      </c>
      <c r="I32" s="15"/>
      <c r="J32" s="15"/>
      <c r="K32" s="15"/>
    </row>
    <row r="33" spans="1:11" ht="54.75" customHeight="1" x14ac:dyDescent="0.3">
      <c r="A33" s="36" t="s">
        <v>325</v>
      </c>
      <c r="B33" s="36" t="s">
        <v>326</v>
      </c>
      <c r="C33" s="36" t="s">
        <v>514</v>
      </c>
      <c r="D33" s="36" t="s">
        <v>515</v>
      </c>
      <c r="E33" s="36" t="s">
        <v>516</v>
      </c>
      <c r="F33" s="36" t="s">
        <v>517</v>
      </c>
      <c r="G33" s="36" t="s">
        <v>518</v>
      </c>
      <c r="H33" s="36" t="s">
        <v>519</v>
      </c>
      <c r="I33" s="15"/>
      <c r="J33" s="15"/>
      <c r="K33" s="15"/>
    </row>
    <row r="34" spans="1:11" ht="68.25" customHeight="1" x14ac:dyDescent="0.3">
      <c r="A34" s="36" t="s">
        <v>331</v>
      </c>
      <c r="B34" s="36" t="s">
        <v>332</v>
      </c>
      <c r="C34" s="36" t="s">
        <v>520</v>
      </c>
      <c r="D34" s="36" t="s">
        <v>521</v>
      </c>
      <c r="E34" s="36" t="s">
        <v>522</v>
      </c>
      <c r="F34" s="36" t="s">
        <v>523</v>
      </c>
      <c r="G34" s="36" t="s">
        <v>524</v>
      </c>
      <c r="H34" s="36" t="s">
        <v>525</v>
      </c>
      <c r="I34" s="15"/>
      <c r="J34" s="15"/>
      <c r="K34" s="15"/>
    </row>
    <row r="35" spans="1:11" ht="68.25" customHeight="1" x14ac:dyDescent="0.3">
      <c r="A35" s="36" t="s">
        <v>337</v>
      </c>
      <c r="B35" s="36" t="s">
        <v>338</v>
      </c>
      <c r="C35" s="36" t="s">
        <v>526</v>
      </c>
      <c r="D35" s="36" t="s">
        <v>527</v>
      </c>
      <c r="E35" s="36" t="s">
        <v>528</v>
      </c>
      <c r="F35" s="36" t="s">
        <v>529</v>
      </c>
      <c r="G35" s="36" t="s">
        <v>530</v>
      </c>
      <c r="H35" s="36" t="s">
        <v>531</v>
      </c>
      <c r="I35" s="15"/>
      <c r="J35" s="15"/>
      <c r="K35" s="15"/>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I34"/>
  <sheetViews>
    <sheetView showGridLines="0" zoomScaleNormal="100" workbookViewId="0"/>
  </sheetViews>
  <sheetFormatPr defaultColWidth="8.6328125" defaultRowHeight="14.5" x14ac:dyDescent="0.35"/>
  <cols>
    <col min="1" max="1" width="8" style="14" customWidth="1"/>
    <col min="2" max="2" width="24" style="14" customWidth="1"/>
    <col min="3" max="3" width="34" style="14" customWidth="1"/>
    <col min="4" max="4" width="26" style="14" customWidth="1"/>
    <col min="5" max="5" width="16" style="14" customWidth="1"/>
    <col min="6" max="6" width="26" style="14" customWidth="1"/>
    <col min="8" max="9" width="20" style="14" customWidth="1"/>
  </cols>
  <sheetData>
    <row r="1" spans="1:9" ht="17.25" customHeight="1" x14ac:dyDescent="0.35">
      <c r="A1" s="37" t="s">
        <v>532</v>
      </c>
      <c r="B1" s="15"/>
      <c r="C1" s="15"/>
      <c r="D1" s="15"/>
      <c r="E1" s="15"/>
      <c r="F1" s="15"/>
      <c r="G1" s="15"/>
      <c r="H1" s="27" t="str">
        <f>HYPERLINK("#TRANGCHU!A1","⬅ Về Trang chủ")</f>
        <v>⬅ Về Trang chủ</v>
      </c>
      <c r="I1" s="27" t="str">
        <f>HYPERLINK("#HUONGDAN!A1","📖 Về Hướng dẫn")</f>
        <v>📖 Về Hướng dẫn</v>
      </c>
    </row>
    <row r="2" spans="1:9" ht="15" customHeight="1" x14ac:dyDescent="0.3">
      <c r="A2" s="28" t="s">
        <v>533</v>
      </c>
      <c r="B2" s="15"/>
      <c r="C2" s="15"/>
      <c r="D2" s="15"/>
      <c r="E2" s="15"/>
      <c r="F2" s="15"/>
      <c r="G2" s="15"/>
      <c r="H2" s="15"/>
      <c r="I2" s="15"/>
    </row>
    <row r="3" spans="1:9" ht="15" customHeight="1" x14ac:dyDescent="0.3">
      <c r="A3" s="15"/>
      <c r="B3" s="15"/>
      <c r="C3" s="15"/>
      <c r="D3" s="15"/>
      <c r="E3" s="15"/>
      <c r="F3" s="15"/>
      <c r="G3" s="15"/>
      <c r="H3" s="15"/>
      <c r="I3" s="15"/>
    </row>
    <row r="4" spans="1:9" ht="15" customHeight="1" x14ac:dyDescent="0.3">
      <c r="A4" s="38" t="s">
        <v>141</v>
      </c>
      <c r="B4" s="38" t="s">
        <v>142</v>
      </c>
      <c r="C4" s="38" t="s">
        <v>534</v>
      </c>
      <c r="D4" s="38" t="s">
        <v>535</v>
      </c>
      <c r="E4" s="38" t="s">
        <v>536</v>
      </c>
      <c r="F4" s="38" t="s">
        <v>537</v>
      </c>
      <c r="G4" s="15"/>
      <c r="H4" s="15"/>
      <c r="I4" s="15"/>
    </row>
    <row r="5" spans="1:9" ht="41.25" customHeight="1" x14ac:dyDescent="0.3">
      <c r="A5" s="32" t="s">
        <v>149</v>
      </c>
      <c r="B5" s="32" t="s">
        <v>150</v>
      </c>
      <c r="C5" s="32" t="s">
        <v>153</v>
      </c>
      <c r="D5" s="32" t="s">
        <v>538</v>
      </c>
      <c r="E5" s="32" t="s">
        <v>539</v>
      </c>
      <c r="F5" s="32" t="s">
        <v>540</v>
      </c>
      <c r="G5" s="15"/>
      <c r="H5" s="15"/>
      <c r="I5" s="15"/>
    </row>
    <row r="6" spans="1:9" ht="41.25" customHeight="1" x14ac:dyDescent="0.3">
      <c r="A6" s="32" t="s">
        <v>157</v>
      </c>
      <c r="B6" s="32" t="s">
        <v>158</v>
      </c>
      <c r="C6" s="32" t="s">
        <v>161</v>
      </c>
      <c r="D6" s="32" t="s">
        <v>538</v>
      </c>
      <c r="E6" s="32" t="s">
        <v>539</v>
      </c>
      <c r="F6" s="32" t="s">
        <v>540</v>
      </c>
      <c r="G6" s="15"/>
      <c r="H6" s="15"/>
      <c r="I6" s="15"/>
    </row>
    <row r="7" spans="1:9" ht="41.25" customHeight="1" x14ac:dyDescent="0.3">
      <c r="A7" s="32" t="s">
        <v>165</v>
      </c>
      <c r="B7" s="32" t="s">
        <v>166</v>
      </c>
      <c r="C7" s="32" t="s">
        <v>169</v>
      </c>
      <c r="D7" s="32" t="s">
        <v>538</v>
      </c>
      <c r="E7" s="32" t="s">
        <v>539</v>
      </c>
      <c r="F7" s="32" t="s">
        <v>540</v>
      </c>
      <c r="G7" s="15"/>
      <c r="H7" s="15"/>
      <c r="I7" s="15"/>
    </row>
    <row r="8" spans="1:9" ht="41.25" customHeight="1" x14ac:dyDescent="0.3">
      <c r="A8" s="32" t="s">
        <v>172</v>
      </c>
      <c r="B8" s="32" t="s">
        <v>173</v>
      </c>
      <c r="C8" s="32" t="s">
        <v>176</v>
      </c>
      <c r="D8" s="32" t="s">
        <v>538</v>
      </c>
      <c r="E8" s="32" t="s">
        <v>539</v>
      </c>
      <c r="F8" s="32" t="s">
        <v>540</v>
      </c>
      <c r="G8" s="15"/>
      <c r="H8" s="15"/>
      <c r="I8" s="15"/>
    </row>
    <row r="9" spans="1:9" ht="41.25" customHeight="1" x14ac:dyDescent="0.3">
      <c r="A9" s="32" t="s">
        <v>178</v>
      </c>
      <c r="B9" s="32" t="s">
        <v>179</v>
      </c>
      <c r="C9" s="32" t="s">
        <v>182</v>
      </c>
      <c r="D9" s="32" t="s">
        <v>538</v>
      </c>
      <c r="E9" s="32" t="s">
        <v>539</v>
      </c>
      <c r="F9" s="32" t="s">
        <v>540</v>
      </c>
      <c r="G9" s="15"/>
      <c r="H9" s="15"/>
      <c r="I9" s="15"/>
    </row>
    <row r="10" spans="1:9" ht="41.25" customHeight="1" x14ac:dyDescent="0.3">
      <c r="A10" s="32" t="s">
        <v>184</v>
      </c>
      <c r="B10" s="32" t="s">
        <v>185</v>
      </c>
      <c r="C10" s="32" t="s">
        <v>188</v>
      </c>
      <c r="D10" s="32" t="s">
        <v>538</v>
      </c>
      <c r="E10" s="32" t="s">
        <v>539</v>
      </c>
      <c r="F10" s="32" t="s">
        <v>540</v>
      </c>
      <c r="G10" s="15"/>
      <c r="H10" s="15"/>
      <c r="I10" s="15"/>
    </row>
    <row r="11" spans="1:9" ht="41.25" customHeight="1" x14ac:dyDescent="0.3">
      <c r="A11" s="32" t="s">
        <v>190</v>
      </c>
      <c r="B11" s="32" t="s">
        <v>191</v>
      </c>
      <c r="C11" s="32" t="s">
        <v>194</v>
      </c>
      <c r="D11" s="32" t="s">
        <v>538</v>
      </c>
      <c r="E11" s="32" t="s">
        <v>539</v>
      </c>
      <c r="F11" s="32" t="s">
        <v>540</v>
      </c>
      <c r="G11" s="15"/>
      <c r="H11" s="15"/>
      <c r="I11" s="15"/>
    </row>
    <row r="12" spans="1:9" ht="41.25" customHeight="1" x14ac:dyDescent="0.3">
      <c r="A12" s="32" t="s">
        <v>197</v>
      </c>
      <c r="B12" s="32" t="s">
        <v>198</v>
      </c>
      <c r="C12" s="32" t="s">
        <v>201</v>
      </c>
      <c r="D12" s="32" t="s">
        <v>538</v>
      </c>
      <c r="E12" s="32" t="s">
        <v>539</v>
      </c>
      <c r="F12" s="32" t="s">
        <v>540</v>
      </c>
      <c r="G12" s="15"/>
      <c r="H12" s="15"/>
      <c r="I12" s="15"/>
    </row>
    <row r="13" spans="1:9" ht="41.25" customHeight="1" x14ac:dyDescent="0.3">
      <c r="A13" s="32" t="s">
        <v>204</v>
      </c>
      <c r="B13" s="32" t="s">
        <v>205</v>
      </c>
      <c r="C13" s="32" t="s">
        <v>208</v>
      </c>
      <c r="D13" s="32" t="s">
        <v>538</v>
      </c>
      <c r="E13" s="32" t="s">
        <v>539</v>
      </c>
      <c r="F13" s="32" t="s">
        <v>540</v>
      </c>
      <c r="G13" s="15"/>
      <c r="H13" s="15"/>
      <c r="I13" s="15"/>
    </row>
    <row r="14" spans="1:9" ht="41.25" customHeight="1" x14ac:dyDescent="0.3">
      <c r="A14" s="32" t="s">
        <v>210</v>
      </c>
      <c r="B14" s="32" t="s">
        <v>211</v>
      </c>
      <c r="C14" s="32" t="s">
        <v>214</v>
      </c>
      <c r="D14" s="32" t="s">
        <v>538</v>
      </c>
      <c r="E14" s="32" t="s">
        <v>539</v>
      </c>
      <c r="F14" s="32" t="s">
        <v>540</v>
      </c>
      <c r="G14" s="15"/>
      <c r="H14" s="15"/>
      <c r="I14" s="15"/>
    </row>
    <row r="15" spans="1:9" ht="41.25" customHeight="1" x14ac:dyDescent="0.3">
      <c r="A15" s="32" t="s">
        <v>218</v>
      </c>
      <c r="B15" s="32" t="s">
        <v>219</v>
      </c>
      <c r="C15" s="32" t="s">
        <v>222</v>
      </c>
      <c r="D15" s="32" t="s">
        <v>538</v>
      </c>
      <c r="E15" s="32" t="s">
        <v>539</v>
      </c>
      <c r="F15" s="32" t="s">
        <v>540</v>
      </c>
      <c r="G15" s="15"/>
      <c r="H15" s="15"/>
      <c r="I15" s="15"/>
    </row>
    <row r="16" spans="1:9" ht="41.25" customHeight="1" x14ac:dyDescent="0.3">
      <c r="A16" s="32" t="s">
        <v>225</v>
      </c>
      <c r="B16" s="32" t="s">
        <v>226</v>
      </c>
      <c r="C16" s="32" t="s">
        <v>229</v>
      </c>
      <c r="D16" s="32" t="s">
        <v>538</v>
      </c>
      <c r="E16" s="32" t="s">
        <v>539</v>
      </c>
      <c r="F16" s="32" t="s">
        <v>540</v>
      </c>
      <c r="G16" s="15"/>
      <c r="H16" s="15"/>
      <c r="I16" s="15"/>
    </row>
    <row r="17" spans="1:9" ht="41.25" customHeight="1" x14ac:dyDescent="0.3">
      <c r="A17" s="32" t="s">
        <v>232</v>
      </c>
      <c r="B17" s="32" t="s">
        <v>233</v>
      </c>
      <c r="C17" s="32" t="s">
        <v>236</v>
      </c>
      <c r="D17" s="32" t="s">
        <v>538</v>
      </c>
      <c r="E17" s="32" t="s">
        <v>539</v>
      </c>
      <c r="F17" s="32" t="s">
        <v>540</v>
      </c>
      <c r="G17" s="15"/>
      <c r="H17" s="15"/>
      <c r="I17" s="15"/>
    </row>
    <row r="18" spans="1:9" ht="41.25" customHeight="1" x14ac:dyDescent="0.3">
      <c r="A18" s="32" t="s">
        <v>238</v>
      </c>
      <c r="B18" s="32" t="s">
        <v>239</v>
      </c>
      <c r="C18" s="32" t="s">
        <v>242</v>
      </c>
      <c r="D18" s="32" t="s">
        <v>538</v>
      </c>
      <c r="E18" s="32" t="s">
        <v>539</v>
      </c>
      <c r="F18" s="32" t="s">
        <v>540</v>
      </c>
      <c r="G18" s="15"/>
      <c r="H18" s="15"/>
      <c r="I18" s="15"/>
    </row>
    <row r="19" spans="1:9" ht="41.25" customHeight="1" x14ac:dyDescent="0.3">
      <c r="A19" s="32" t="s">
        <v>244</v>
      </c>
      <c r="B19" s="32" t="s">
        <v>245</v>
      </c>
      <c r="C19" s="32" t="s">
        <v>248</v>
      </c>
      <c r="D19" s="32" t="s">
        <v>538</v>
      </c>
      <c r="E19" s="32" t="s">
        <v>539</v>
      </c>
      <c r="F19" s="32" t="s">
        <v>540</v>
      </c>
      <c r="G19" s="15"/>
      <c r="H19" s="15"/>
      <c r="I19" s="15"/>
    </row>
    <row r="20" spans="1:9" ht="41.25" customHeight="1" x14ac:dyDescent="0.3">
      <c r="A20" s="32" t="s">
        <v>252</v>
      </c>
      <c r="B20" s="32" t="s">
        <v>253</v>
      </c>
      <c r="C20" s="32" t="s">
        <v>256</v>
      </c>
      <c r="D20" s="32" t="s">
        <v>538</v>
      </c>
      <c r="E20" s="32" t="s">
        <v>539</v>
      </c>
      <c r="F20" s="32" t="s">
        <v>540</v>
      </c>
      <c r="G20" s="15"/>
      <c r="H20" s="15"/>
      <c r="I20" s="15"/>
    </row>
    <row r="21" spans="1:9" ht="41.25" customHeight="1" x14ac:dyDescent="0.3">
      <c r="A21" s="32" t="s">
        <v>258</v>
      </c>
      <c r="B21" s="32" t="s">
        <v>259</v>
      </c>
      <c r="C21" s="32" t="s">
        <v>262</v>
      </c>
      <c r="D21" s="32" t="s">
        <v>538</v>
      </c>
      <c r="E21" s="32" t="s">
        <v>539</v>
      </c>
      <c r="F21" s="32" t="s">
        <v>540</v>
      </c>
      <c r="G21" s="15"/>
      <c r="H21" s="15"/>
      <c r="I21" s="15"/>
    </row>
    <row r="22" spans="1:9" ht="41.25" customHeight="1" x14ac:dyDescent="0.3">
      <c r="A22" s="32" t="s">
        <v>264</v>
      </c>
      <c r="B22" s="32" t="s">
        <v>265</v>
      </c>
      <c r="C22" s="32" t="s">
        <v>268</v>
      </c>
      <c r="D22" s="32" t="s">
        <v>538</v>
      </c>
      <c r="E22" s="32" t="s">
        <v>539</v>
      </c>
      <c r="F22" s="32" t="s">
        <v>540</v>
      </c>
      <c r="G22" s="15"/>
      <c r="H22" s="15"/>
      <c r="I22" s="15"/>
    </row>
    <row r="23" spans="1:9" ht="41.25" customHeight="1" x14ac:dyDescent="0.3">
      <c r="A23" s="32" t="s">
        <v>270</v>
      </c>
      <c r="B23" s="32" t="s">
        <v>271</v>
      </c>
      <c r="C23" s="32" t="s">
        <v>541</v>
      </c>
      <c r="D23" s="32" t="s">
        <v>538</v>
      </c>
      <c r="E23" s="32" t="s">
        <v>539</v>
      </c>
      <c r="F23" s="32" t="s">
        <v>540</v>
      </c>
      <c r="G23" s="15"/>
      <c r="H23" s="15"/>
      <c r="I23" s="15"/>
    </row>
    <row r="24" spans="1:9" ht="41.25" customHeight="1" x14ac:dyDescent="0.3">
      <c r="A24" s="32" t="s">
        <v>276</v>
      </c>
      <c r="B24" s="32" t="s">
        <v>277</v>
      </c>
      <c r="C24" s="32" t="s">
        <v>280</v>
      </c>
      <c r="D24" s="32" t="s">
        <v>538</v>
      </c>
      <c r="E24" s="32" t="s">
        <v>539</v>
      </c>
      <c r="F24" s="32" t="s">
        <v>540</v>
      </c>
      <c r="G24" s="15"/>
      <c r="H24" s="15"/>
      <c r="I24" s="15"/>
    </row>
    <row r="25" spans="1:9" ht="41.25" customHeight="1" x14ac:dyDescent="0.3">
      <c r="A25" s="32" t="s">
        <v>282</v>
      </c>
      <c r="B25" s="32" t="s">
        <v>283</v>
      </c>
      <c r="C25" s="32" t="s">
        <v>286</v>
      </c>
      <c r="D25" s="32" t="s">
        <v>538</v>
      </c>
      <c r="E25" s="32" t="s">
        <v>539</v>
      </c>
      <c r="F25" s="32" t="s">
        <v>540</v>
      </c>
      <c r="G25" s="15"/>
      <c r="H25" s="15"/>
      <c r="I25" s="15"/>
    </row>
    <row r="26" spans="1:9" ht="41.25" customHeight="1" x14ac:dyDescent="0.3">
      <c r="A26" s="32" t="s">
        <v>288</v>
      </c>
      <c r="B26" s="32" t="s">
        <v>289</v>
      </c>
      <c r="C26" s="32" t="s">
        <v>292</v>
      </c>
      <c r="D26" s="32" t="s">
        <v>538</v>
      </c>
      <c r="E26" s="32" t="s">
        <v>539</v>
      </c>
      <c r="F26" s="32" t="s">
        <v>540</v>
      </c>
      <c r="G26" s="15"/>
      <c r="H26" s="15"/>
      <c r="I26" s="15"/>
    </row>
    <row r="27" spans="1:9" ht="41.25" customHeight="1" x14ac:dyDescent="0.3">
      <c r="A27" s="32" t="s">
        <v>294</v>
      </c>
      <c r="B27" s="32" t="s">
        <v>295</v>
      </c>
      <c r="C27" s="32" t="s">
        <v>542</v>
      </c>
      <c r="D27" s="32" t="s">
        <v>538</v>
      </c>
      <c r="E27" s="32" t="s">
        <v>539</v>
      </c>
      <c r="F27" s="32" t="s">
        <v>540</v>
      </c>
      <c r="G27" s="15"/>
      <c r="H27" s="15"/>
      <c r="I27" s="15"/>
    </row>
    <row r="28" spans="1:9" ht="41.25" customHeight="1" x14ac:dyDescent="0.3">
      <c r="A28" s="32" t="s">
        <v>300</v>
      </c>
      <c r="B28" s="32" t="s">
        <v>301</v>
      </c>
      <c r="C28" s="32" t="s">
        <v>304</v>
      </c>
      <c r="D28" s="32" t="s">
        <v>538</v>
      </c>
      <c r="E28" s="32" t="s">
        <v>539</v>
      </c>
      <c r="F28" s="32" t="s">
        <v>540</v>
      </c>
      <c r="G28" s="15"/>
      <c r="H28" s="15"/>
      <c r="I28" s="15"/>
    </row>
    <row r="29" spans="1:9" ht="41.25" customHeight="1" x14ac:dyDescent="0.3">
      <c r="A29" s="32" t="s">
        <v>306</v>
      </c>
      <c r="B29" s="32" t="s">
        <v>307</v>
      </c>
      <c r="C29" s="32" t="s">
        <v>310</v>
      </c>
      <c r="D29" s="32" t="s">
        <v>538</v>
      </c>
      <c r="E29" s="32" t="s">
        <v>539</v>
      </c>
      <c r="F29" s="32" t="s">
        <v>540</v>
      </c>
      <c r="G29" s="15"/>
      <c r="H29" s="15"/>
      <c r="I29" s="15"/>
    </row>
    <row r="30" spans="1:9" ht="41.25" customHeight="1" x14ac:dyDescent="0.3">
      <c r="A30" s="32" t="s">
        <v>313</v>
      </c>
      <c r="B30" s="32" t="s">
        <v>314</v>
      </c>
      <c r="C30" s="32" t="s">
        <v>317</v>
      </c>
      <c r="D30" s="32" t="s">
        <v>538</v>
      </c>
      <c r="E30" s="32" t="s">
        <v>539</v>
      </c>
      <c r="F30" s="32" t="s">
        <v>540</v>
      </c>
      <c r="G30" s="15"/>
      <c r="H30" s="15"/>
      <c r="I30" s="15"/>
    </row>
    <row r="31" spans="1:9" ht="41.25" customHeight="1" x14ac:dyDescent="0.3">
      <c r="A31" s="32" t="s">
        <v>319</v>
      </c>
      <c r="B31" s="32" t="s">
        <v>320</v>
      </c>
      <c r="C31" s="32" t="s">
        <v>323</v>
      </c>
      <c r="D31" s="32" t="s">
        <v>538</v>
      </c>
      <c r="E31" s="32" t="s">
        <v>539</v>
      </c>
      <c r="F31" s="32" t="s">
        <v>540</v>
      </c>
      <c r="G31" s="15"/>
      <c r="H31" s="15"/>
      <c r="I31" s="15"/>
    </row>
    <row r="32" spans="1:9" ht="41.25" customHeight="1" x14ac:dyDescent="0.3">
      <c r="A32" s="32" t="s">
        <v>325</v>
      </c>
      <c r="B32" s="32" t="s">
        <v>326</v>
      </c>
      <c r="C32" s="32" t="s">
        <v>329</v>
      </c>
      <c r="D32" s="32" t="s">
        <v>538</v>
      </c>
      <c r="E32" s="32" t="s">
        <v>539</v>
      </c>
      <c r="F32" s="32" t="s">
        <v>540</v>
      </c>
      <c r="G32" s="15"/>
      <c r="H32" s="15"/>
      <c r="I32" s="15"/>
    </row>
    <row r="33" spans="1:9" ht="41.25" customHeight="1" x14ac:dyDescent="0.3">
      <c r="A33" s="32" t="s">
        <v>331</v>
      </c>
      <c r="B33" s="32" t="s">
        <v>332</v>
      </c>
      <c r="C33" s="32" t="s">
        <v>335</v>
      </c>
      <c r="D33" s="32" t="s">
        <v>538</v>
      </c>
      <c r="E33" s="32" t="s">
        <v>539</v>
      </c>
      <c r="F33" s="32" t="s">
        <v>540</v>
      </c>
      <c r="G33" s="15"/>
      <c r="H33" s="15"/>
      <c r="I33" s="15"/>
    </row>
    <row r="34" spans="1:9" ht="41.25" customHeight="1" x14ac:dyDescent="0.3">
      <c r="A34" s="32" t="s">
        <v>337</v>
      </c>
      <c r="B34" s="32" t="s">
        <v>338</v>
      </c>
      <c r="C34" s="32" t="s">
        <v>341</v>
      </c>
      <c r="D34" s="32" t="s">
        <v>538</v>
      </c>
      <c r="E34" s="32" t="s">
        <v>539</v>
      </c>
      <c r="F34" s="32" t="s">
        <v>540</v>
      </c>
      <c r="G34" s="15"/>
      <c r="H34" s="15"/>
      <c r="I34" s="15"/>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F64"/>
  <sheetViews>
    <sheetView showGridLines="0" zoomScaleNormal="100" workbookViewId="0"/>
  </sheetViews>
  <sheetFormatPr defaultColWidth="8.6328125" defaultRowHeight="14.5" x14ac:dyDescent="0.35"/>
  <cols>
    <col min="1" max="1" width="16" style="14" customWidth="1"/>
    <col min="2" max="3" width="60" style="14" customWidth="1"/>
    <col min="5" max="6" width="20" style="14" customWidth="1"/>
  </cols>
  <sheetData>
    <row r="1" spans="1:6" ht="17.25" customHeight="1" x14ac:dyDescent="0.35">
      <c r="A1" s="45" t="s">
        <v>543</v>
      </c>
      <c r="B1" s="15"/>
      <c r="C1" s="15"/>
      <c r="D1" s="15"/>
      <c r="E1" s="27" t="str">
        <f>HYPERLINK("#TRANGCHU!A1","⬅ Về Trang chủ")</f>
        <v>⬅ Về Trang chủ</v>
      </c>
      <c r="F1" s="27" t="str">
        <f>HYPERLINK("#HUONGDAN!A1","📖 Về Hướng dẫn")</f>
        <v>📖 Về Hướng dẫn</v>
      </c>
    </row>
    <row r="2" spans="1:6" ht="15" customHeight="1" x14ac:dyDescent="0.3">
      <c r="A2" s="28" t="s">
        <v>544</v>
      </c>
      <c r="B2" s="15"/>
      <c r="C2" s="15"/>
      <c r="D2" s="15"/>
      <c r="E2" s="15"/>
      <c r="F2" s="15"/>
    </row>
    <row r="3" spans="1:6" ht="15" customHeight="1" x14ac:dyDescent="0.3">
      <c r="A3" s="15"/>
      <c r="B3" s="15"/>
      <c r="C3" s="15"/>
      <c r="D3" s="15"/>
      <c r="E3" s="15"/>
      <c r="F3" s="15"/>
    </row>
    <row r="4" spans="1:6" ht="15" customHeight="1" x14ac:dyDescent="0.3">
      <c r="A4" s="46" t="s">
        <v>545</v>
      </c>
      <c r="B4" s="15"/>
      <c r="C4" s="15"/>
      <c r="D4" s="15"/>
      <c r="E4" s="15"/>
      <c r="F4" s="15"/>
    </row>
    <row r="5" spans="1:6" ht="124.5" customHeight="1" x14ac:dyDescent="0.3">
      <c r="A5" s="30" t="s">
        <v>546</v>
      </c>
      <c r="B5" s="15"/>
      <c r="C5" s="15"/>
      <c r="D5" s="15"/>
      <c r="E5" s="15"/>
      <c r="F5" s="15"/>
    </row>
    <row r="6" spans="1:6" ht="15" customHeight="1" x14ac:dyDescent="0.3">
      <c r="A6" s="15"/>
      <c r="B6" s="15"/>
      <c r="C6" s="15"/>
      <c r="D6" s="15"/>
      <c r="E6" s="15"/>
      <c r="F6" s="15"/>
    </row>
    <row r="7" spans="1:6" ht="15" customHeight="1" x14ac:dyDescent="0.3">
      <c r="A7" s="46" t="s">
        <v>547</v>
      </c>
      <c r="B7" s="15"/>
      <c r="C7" s="15"/>
      <c r="D7" s="15"/>
      <c r="E7" s="15"/>
      <c r="F7" s="15"/>
    </row>
    <row r="8" spans="1:6" ht="15" customHeight="1" x14ac:dyDescent="0.3">
      <c r="A8" s="47" t="s">
        <v>68</v>
      </c>
      <c r="B8" s="47" t="s">
        <v>141</v>
      </c>
      <c r="C8" s="47" t="s">
        <v>548</v>
      </c>
      <c r="D8" s="15"/>
      <c r="E8" s="15"/>
      <c r="F8" s="15"/>
    </row>
    <row r="9" spans="1:6" ht="27.75" customHeight="1" x14ac:dyDescent="0.3">
      <c r="A9" s="48" t="s">
        <v>71</v>
      </c>
      <c r="B9" s="49" t="s">
        <v>149</v>
      </c>
      <c r="C9" s="36" t="s">
        <v>549</v>
      </c>
      <c r="D9" s="15"/>
      <c r="E9" s="15"/>
      <c r="F9" s="15"/>
    </row>
    <row r="10" spans="1:6" ht="27.75" customHeight="1" x14ac:dyDescent="0.3">
      <c r="A10" s="48" t="s">
        <v>71</v>
      </c>
      <c r="B10" s="49" t="s">
        <v>157</v>
      </c>
      <c r="C10" s="36" t="s">
        <v>550</v>
      </c>
      <c r="D10" s="15"/>
      <c r="E10" s="15"/>
      <c r="F10" s="15"/>
    </row>
    <row r="11" spans="1:6" ht="27.75" customHeight="1" x14ac:dyDescent="0.3">
      <c r="A11" s="48" t="s">
        <v>71</v>
      </c>
      <c r="B11" s="49" t="s">
        <v>165</v>
      </c>
      <c r="C11" s="36" t="s">
        <v>551</v>
      </c>
      <c r="D11" s="15"/>
      <c r="E11" s="15"/>
      <c r="F11" s="15"/>
    </row>
    <row r="12" spans="1:6" ht="27.75" customHeight="1" x14ac:dyDescent="0.3">
      <c r="A12" s="48" t="s">
        <v>71</v>
      </c>
      <c r="B12" s="49" t="s">
        <v>172</v>
      </c>
      <c r="C12" s="36" t="s">
        <v>552</v>
      </c>
      <c r="D12" s="15"/>
      <c r="E12" s="15"/>
      <c r="F12" s="15"/>
    </row>
    <row r="13" spans="1:6" ht="27.75" customHeight="1" x14ac:dyDescent="0.3">
      <c r="A13" s="48" t="s">
        <v>71</v>
      </c>
      <c r="B13" s="49" t="s">
        <v>178</v>
      </c>
      <c r="C13" s="36" t="s">
        <v>553</v>
      </c>
      <c r="D13" s="15"/>
      <c r="E13" s="15"/>
      <c r="F13" s="15"/>
    </row>
    <row r="14" spans="1:6" ht="27.75" customHeight="1" x14ac:dyDescent="0.3">
      <c r="A14" s="48" t="s">
        <v>71</v>
      </c>
      <c r="B14" s="49" t="s">
        <v>184</v>
      </c>
      <c r="C14" s="36" t="s">
        <v>554</v>
      </c>
      <c r="D14" s="15"/>
      <c r="E14" s="15"/>
      <c r="F14" s="15"/>
    </row>
    <row r="15" spans="1:6" ht="27.75" customHeight="1" x14ac:dyDescent="0.3">
      <c r="A15" s="48" t="s">
        <v>71</v>
      </c>
      <c r="B15" s="49" t="s">
        <v>190</v>
      </c>
      <c r="C15" s="36" t="s">
        <v>555</v>
      </c>
      <c r="D15" s="15"/>
      <c r="E15" s="15"/>
      <c r="F15" s="15"/>
    </row>
    <row r="16" spans="1:6" ht="15" customHeight="1" x14ac:dyDescent="0.3">
      <c r="A16" s="50" t="s">
        <v>73</v>
      </c>
      <c r="B16" s="49" t="s">
        <v>197</v>
      </c>
      <c r="C16" s="36" t="s">
        <v>556</v>
      </c>
      <c r="D16" s="15"/>
      <c r="E16" s="15"/>
      <c r="F16" s="15"/>
    </row>
    <row r="17" spans="1:6" ht="27.75" customHeight="1" x14ac:dyDescent="0.3">
      <c r="A17" s="50" t="s">
        <v>73</v>
      </c>
      <c r="B17" s="49" t="s">
        <v>204</v>
      </c>
      <c r="C17" s="36" t="s">
        <v>557</v>
      </c>
      <c r="D17" s="15"/>
      <c r="E17" s="15"/>
      <c r="F17" s="15"/>
    </row>
    <row r="18" spans="1:6" ht="27.75" customHeight="1" x14ac:dyDescent="0.3">
      <c r="A18" s="50" t="s">
        <v>73</v>
      </c>
      <c r="B18" s="49" t="s">
        <v>210</v>
      </c>
      <c r="C18" s="36" t="s">
        <v>558</v>
      </c>
      <c r="D18" s="15"/>
      <c r="E18" s="15"/>
      <c r="F18" s="15"/>
    </row>
    <row r="19" spans="1:6" ht="27.75" customHeight="1" x14ac:dyDescent="0.3">
      <c r="A19" s="50" t="s">
        <v>73</v>
      </c>
      <c r="B19" s="49" t="s">
        <v>218</v>
      </c>
      <c r="C19" s="36" t="s">
        <v>559</v>
      </c>
      <c r="D19" s="15"/>
      <c r="E19" s="15"/>
      <c r="F19" s="15"/>
    </row>
    <row r="20" spans="1:6" ht="27.75" customHeight="1" x14ac:dyDescent="0.3">
      <c r="A20" s="50" t="s">
        <v>73</v>
      </c>
      <c r="B20" s="49" t="s">
        <v>225</v>
      </c>
      <c r="C20" s="36" t="s">
        <v>560</v>
      </c>
      <c r="D20" s="15"/>
      <c r="E20" s="15"/>
      <c r="F20" s="15"/>
    </row>
    <row r="21" spans="1:6" ht="15" customHeight="1" x14ac:dyDescent="0.3">
      <c r="A21" s="50" t="s">
        <v>73</v>
      </c>
      <c r="B21" s="49" t="s">
        <v>232</v>
      </c>
      <c r="C21" s="36" t="s">
        <v>561</v>
      </c>
      <c r="D21" s="15"/>
      <c r="E21" s="15"/>
      <c r="F21" s="15"/>
    </row>
    <row r="22" spans="1:6" ht="27.75" customHeight="1" x14ac:dyDescent="0.3">
      <c r="A22" s="50" t="s">
        <v>73</v>
      </c>
      <c r="B22" s="49" t="s">
        <v>238</v>
      </c>
      <c r="C22" s="36" t="s">
        <v>562</v>
      </c>
      <c r="D22" s="15"/>
      <c r="E22" s="15"/>
      <c r="F22" s="15"/>
    </row>
    <row r="23" spans="1:6" ht="27.75" customHeight="1" x14ac:dyDescent="0.3">
      <c r="A23" s="50" t="s">
        <v>73</v>
      </c>
      <c r="B23" s="49" t="s">
        <v>244</v>
      </c>
      <c r="C23" s="36" t="s">
        <v>563</v>
      </c>
      <c r="D23" s="15"/>
      <c r="E23" s="15"/>
      <c r="F23" s="15"/>
    </row>
    <row r="24" spans="1:6" ht="15" customHeight="1" x14ac:dyDescent="0.3">
      <c r="A24" s="51" t="s">
        <v>251</v>
      </c>
      <c r="B24" s="49" t="s">
        <v>252</v>
      </c>
      <c r="C24" s="36" t="s">
        <v>564</v>
      </c>
      <c r="D24" s="15"/>
      <c r="E24" s="15"/>
      <c r="F24" s="15"/>
    </row>
    <row r="25" spans="1:6" ht="15" customHeight="1" x14ac:dyDescent="0.3">
      <c r="A25" s="51" t="s">
        <v>251</v>
      </c>
      <c r="B25" s="49" t="s">
        <v>258</v>
      </c>
      <c r="C25" s="36" t="s">
        <v>565</v>
      </c>
      <c r="D25" s="15"/>
      <c r="E25" s="15"/>
      <c r="F25" s="15"/>
    </row>
    <row r="26" spans="1:6" ht="27.75" customHeight="1" x14ac:dyDescent="0.3">
      <c r="A26" s="51" t="s">
        <v>251</v>
      </c>
      <c r="B26" s="49" t="s">
        <v>264</v>
      </c>
      <c r="C26" s="36" t="s">
        <v>566</v>
      </c>
      <c r="D26" s="15"/>
      <c r="E26" s="15"/>
      <c r="F26" s="15"/>
    </row>
    <row r="27" spans="1:6" ht="15" customHeight="1" x14ac:dyDescent="0.3">
      <c r="A27" s="51" t="s">
        <v>251</v>
      </c>
      <c r="B27" s="49" t="s">
        <v>270</v>
      </c>
      <c r="C27" s="36" t="s">
        <v>567</v>
      </c>
      <c r="D27" s="15"/>
      <c r="E27" s="15"/>
      <c r="F27" s="15"/>
    </row>
    <row r="28" spans="1:6" ht="27.75" customHeight="1" x14ac:dyDescent="0.3">
      <c r="A28" s="52" t="s">
        <v>77</v>
      </c>
      <c r="B28" s="49" t="s">
        <v>276</v>
      </c>
      <c r="C28" s="36" t="s">
        <v>568</v>
      </c>
      <c r="D28" s="15"/>
      <c r="E28" s="15"/>
      <c r="F28" s="15"/>
    </row>
    <row r="29" spans="1:6" ht="27.75" customHeight="1" x14ac:dyDescent="0.3">
      <c r="A29" s="52" t="s">
        <v>77</v>
      </c>
      <c r="B29" s="49" t="s">
        <v>282</v>
      </c>
      <c r="C29" s="36" t="s">
        <v>569</v>
      </c>
      <c r="D29" s="15"/>
      <c r="E29" s="15"/>
      <c r="F29" s="15"/>
    </row>
    <row r="30" spans="1:6" ht="27.75" customHeight="1" x14ac:dyDescent="0.3">
      <c r="A30" s="52" t="s">
        <v>77</v>
      </c>
      <c r="B30" s="49" t="s">
        <v>288</v>
      </c>
      <c r="C30" s="36" t="s">
        <v>570</v>
      </c>
      <c r="D30" s="15"/>
      <c r="E30" s="15"/>
      <c r="F30" s="15"/>
    </row>
    <row r="31" spans="1:6" ht="27.75" customHeight="1" x14ac:dyDescent="0.3">
      <c r="A31" s="52" t="s">
        <v>77</v>
      </c>
      <c r="B31" s="49" t="s">
        <v>294</v>
      </c>
      <c r="C31" s="36" t="s">
        <v>571</v>
      </c>
      <c r="D31" s="15"/>
      <c r="E31" s="15"/>
      <c r="F31" s="15"/>
    </row>
    <row r="32" spans="1:6" ht="27.75" customHeight="1" x14ac:dyDescent="0.3">
      <c r="A32" s="52" t="s">
        <v>77</v>
      </c>
      <c r="B32" s="49" t="s">
        <v>300</v>
      </c>
      <c r="C32" s="36" t="s">
        <v>572</v>
      </c>
      <c r="D32" s="15"/>
      <c r="E32" s="15"/>
      <c r="F32" s="15"/>
    </row>
    <row r="33" spans="1:6" ht="27.75" customHeight="1" x14ac:dyDescent="0.3">
      <c r="A33" s="52" t="s">
        <v>77</v>
      </c>
      <c r="B33" s="49" t="s">
        <v>306</v>
      </c>
      <c r="C33" s="36" t="s">
        <v>573</v>
      </c>
      <c r="D33" s="15"/>
      <c r="E33" s="15"/>
      <c r="F33" s="15"/>
    </row>
    <row r="34" spans="1:6" ht="27.75" customHeight="1" x14ac:dyDescent="0.3">
      <c r="A34" s="53" t="s">
        <v>312</v>
      </c>
      <c r="B34" s="49" t="s">
        <v>313</v>
      </c>
      <c r="C34" s="36" t="s">
        <v>574</v>
      </c>
      <c r="D34" s="15"/>
      <c r="E34" s="15"/>
      <c r="F34" s="15"/>
    </row>
    <row r="35" spans="1:6" ht="27.75" customHeight="1" x14ac:dyDescent="0.3">
      <c r="A35" s="53" t="s">
        <v>312</v>
      </c>
      <c r="B35" s="49" t="s">
        <v>319</v>
      </c>
      <c r="C35" s="36" t="s">
        <v>575</v>
      </c>
      <c r="D35" s="15"/>
      <c r="E35" s="15"/>
      <c r="F35" s="15"/>
    </row>
    <row r="36" spans="1:6" ht="27.75" customHeight="1" x14ac:dyDescent="0.3">
      <c r="A36" s="53" t="s">
        <v>312</v>
      </c>
      <c r="B36" s="49" t="s">
        <v>325</v>
      </c>
      <c r="C36" s="36" t="s">
        <v>576</v>
      </c>
      <c r="D36" s="15"/>
      <c r="E36" s="15"/>
      <c r="F36" s="15"/>
    </row>
    <row r="37" spans="1:6" ht="27.75" customHeight="1" x14ac:dyDescent="0.3">
      <c r="A37" s="53" t="s">
        <v>312</v>
      </c>
      <c r="B37" s="49" t="s">
        <v>331</v>
      </c>
      <c r="C37" s="36" t="s">
        <v>577</v>
      </c>
      <c r="D37" s="15"/>
      <c r="E37" s="15"/>
      <c r="F37" s="15"/>
    </row>
    <row r="38" spans="1:6" ht="27.75" customHeight="1" x14ac:dyDescent="0.3">
      <c r="A38" s="53" t="s">
        <v>312</v>
      </c>
      <c r="B38" s="49" t="s">
        <v>337</v>
      </c>
      <c r="C38" s="36" t="s">
        <v>578</v>
      </c>
      <c r="D38" s="15"/>
      <c r="E38" s="15"/>
      <c r="F38" s="15"/>
    </row>
    <row r="39" spans="1:6" ht="15" customHeight="1" x14ac:dyDescent="0.3">
      <c r="A39" s="15"/>
      <c r="B39" s="15"/>
      <c r="C39" s="15"/>
      <c r="D39" s="15"/>
      <c r="E39" s="15"/>
      <c r="F39" s="15"/>
    </row>
    <row r="40" spans="1:6" ht="15" customHeight="1" x14ac:dyDescent="0.3">
      <c r="A40" s="46" t="s">
        <v>579</v>
      </c>
      <c r="B40" s="15"/>
      <c r="C40" s="15"/>
      <c r="D40" s="15"/>
      <c r="E40" s="15"/>
      <c r="F40" s="15"/>
    </row>
    <row r="41" spans="1:6" ht="15" customHeight="1" x14ac:dyDescent="0.3">
      <c r="A41" s="47" t="s">
        <v>580</v>
      </c>
      <c r="B41" s="47" t="s">
        <v>581</v>
      </c>
      <c r="C41" s="15"/>
      <c r="D41" s="15"/>
      <c r="E41" s="15"/>
      <c r="F41" s="15"/>
    </row>
    <row r="42" spans="1:6" ht="15" customHeight="1" x14ac:dyDescent="0.3">
      <c r="A42" s="49" t="s">
        <v>582</v>
      </c>
      <c r="B42" s="32" t="s">
        <v>583</v>
      </c>
      <c r="C42" s="15"/>
      <c r="D42" s="15"/>
      <c r="E42" s="15"/>
      <c r="F42" s="15"/>
    </row>
    <row r="43" spans="1:6" ht="15" customHeight="1" x14ac:dyDescent="0.3">
      <c r="A43" s="49" t="s">
        <v>584</v>
      </c>
      <c r="B43" s="32" t="s">
        <v>585</v>
      </c>
      <c r="C43" s="15"/>
      <c r="D43" s="15"/>
      <c r="E43" s="15"/>
      <c r="F43" s="15"/>
    </row>
    <row r="44" spans="1:6" ht="15" customHeight="1" x14ac:dyDescent="0.3">
      <c r="A44" s="49" t="s">
        <v>586</v>
      </c>
      <c r="B44" s="32" t="s">
        <v>587</v>
      </c>
      <c r="C44" s="15"/>
      <c r="D44" s="15"/>
      <c r="E44" s="15"/>
      <c r="F44" s="15"/>
    </row>
    <row r="45" spans="1:6" ht="15" customHeight="1" x14ac:dyDescent="0.3">
      <c r="A45" s="49" t="s">
        <v>588</v>
      </c>
      <c r="B45" s="32" t="s">
        <v>589</v>
      </c>
      <c r="C45" s="15"/>
      <c r="D45" s="15"/>
      <c r="E45" s="15"/>
      <c r="F45" s="15"/>
    </row>
    <row r="46" spans="1:6" ht="15" customHeight="1" x14ac:dyDescent="0.3">
      <c r="A46" s="49" t="s">
        <v>590</v>
      </c>
      <c r="B46" s="32" t="s">
        <v>591</v>
      </c>
      <c r="C46" s="15"/>
      <c r="D46" s="15"/>
      <c r="E46" s="15"/>
      <c r="F46" s="15"/>
    </row>
    <row r="47" spans="1:6" ht="15" customHeight="1" x14ac:dyDescent="0.3">
      <c r="A47" s="49" t="s">
        <v>592</v>
      </c>
      <c r="B47" s="32" t="s">
        <v>593</v>
      </c>
      <c r="C47" s="15"/>
      <c r="D47" s="15"/>
      <c r="E47" s="15"/>
      <c r="F47" s="15"/>
    </row>
    <row r="48" spans="1:6" ht="15" customHeight="1" x14ac:dyDescent="0.3">
      <c r="A48" s="49" t="s">
        <v>594</v>
      </c>
      <c r="B48" s="32" t="s">
        <v>595</v>
      </c>
      <c r="C48" s="15"/>
      <c r="D48" s="15"/>
      <c r="E48" s="15"/>
      <c r="F48" s="15"/>
    </row>
    <row r="49" spans="1:6" ht="15" customHeight="1" x14ac:dyDescent="0.3">
      <c r="A49" s="49" t="s">
        <v>596</v>
      </c>
      <c r="B49" s="32" t="s">
        <v>597</v>
      </c>
      <c r="C49" s="15"/>
      <c r="D49" s="15"/>
      <c r="E49" s="15"/>
      <c r="F49" s="15"/>
    </row>
    <row r="50" spans="1:6" ht="15" customHeight="1" x14ac:dyDescent="0.3">
      <c r="A50" s="49" t="s">
        <v>598</v>
      </c>
      <c r="B50" s="32" t="s">
        <v>599</v>
      </c>
      <c r="C50" s="15"/>
      <c r="D50" s="15"/>
      <c r="E50" s="15"/>
      <c r="F50" s="15"/>
    </row>
    <row r="51" spans="1:6" ht="15" customHeight="1" x14ac:dyDescent="0.3">
      <c r="A51" s="49" t="s">
        <v>600</v>
      </c>
      <c r="B51" s="32" t="s">
        <v>601</v>
      </c>
      <c r="C51" s="15"/>
      <c r="D51" s="15"/>
      <c r="E51" s="15"/>
      <c r="F51" s="15"/>
    </row>
    <row r="52" spans="1:6" ht="15" customHeight="1" x14ac:dyDescent="0.3">
      <c r="A52" s="15"/>
      <c r="B52" s="15"/>
      <c r="C52" s="15"/>
      <c r="D52" s="15"/>
      <c r="E52" s="15"/>
      <c r="F52" s="15"/>
    </row>
    <row r="53" spans="1:6" ht="15" customHeight="1" x14ac:dyDescent="0.3">
      <c r="A53" s="46" t="s">
        <v>602</v>
      </c>
      <c r="B53" s="15"/>
      <c r="C53" s="15"/>
      <c r="D53" s="15"/>
      <c r="E53" s="15"/>
      <c r="F53" s="15"/>
    </row>
    <row r="54" spans="1:6" ht="45.75" customHeight="1" x14ac:dyDescent="0.3">
      <c r="A54" s="30" t="s">
        <v>603</v>
      </c>
      <c r="B54" s="15"/>
      <c r="C54" s="15"/>
      <c r="D54" s="15"/>
      <c r="E54" s="15"/>
      <c r="F54" s="15"/>
    </row>
    <row r="55" spans="1:6" ht="57" customHeight="1" x14ac:dyDescent="0.3">
      <c r="A55" s="30" t="s">
        <v>604</v>
      </c>
      <c r="B55" s="15"/>
      <c r="C55" s="15"/>
      <c r="D55" s="15"/>
      <c r="E55" s="15"/>
      <c r="F55" s="15"/>
    </row>
    <row r="56" spans="1:6" ht="68.25" customHeight="1" x14ac:dyDescent="0.3">
      <c r="A56" s="30" t="s">
        <v>605</v>
      </c>
      <c r="B56" s="15"/>
      <c r="C56" s="15"/>
      <c r="D56" s="15"/>
      <c r="E56" s="15"/>
      <c r="F56" s="15"/>
    </row>
    <row r="57" spans="1:6" ht="57" customHeight="1" x14ac:dyDescent="0.3">
      <c r="A57" s="30" t="s">
        <v>606</v>
      </c>
      <c r="B57" s="15"/>
      <c r="C57" s="15"/>
      <c r="D57" s="15"/>
      <c r="E57" s="15"/>
      <c r="F57" s="15"/>
    </row>
    <row r="58" spans="1:6" ht="45.75" customHeight="1" x14ac:dyDescent="0.3">
      <c r="A58" s="30" t="s">
        <v>607</v>
      </c>
      <c r="B58" s="15"/>
      <c r="C58" s="15"/>
      <c r="D58" s="15"/>
      <c r="E58" s="15"/>
      <c r="F58" s="15"/>
    </row>
    <row r="59" spans="1:6" ht="15" customHeight="1" x14ac:dyDescent="0.3">
      <c r="A59" s="15"/>
      <c r="B59" s="15"/>
      <c r="C59" s="15"/>
      <c r="D59" s="15"/>
      <c r="E59" s="15"/>
      <c r="F59" s="15"/>
    </row>
    <row r="60" spans="1:6" ht="15" customHeight="1" x14ac:dyDescent="0.3">
      <c r="A60" s="46" t="s">
        <v>608</v>
      </c>
      <c r="B60" s="15"/>
      <c r="C60" s="15"/>
      <c r="D60" s="15"/>
      <c r="E60" s="15"/>
      <c r="F60" s="15"/>
    </row>
    <row r="61" spans="1:6" ht="90.75" customHeight="1" x14ac:dyDescent="0.3">
      <c r="A61" s="30" t="s">
        <v>609</v>
      </c>
      <c r="B61" s="15"/>
      <c r="C61" s="15"/>
      <c r="D61" s="15"/>
      <c r="E61" s="15"/>
      <c r="F61" s="15"/>
    </row>
    <row r="62" spans="1:6" ht="15" customHeight="1" x14ac:dyDescent="0.3">
      <c r="A62" s="15"/>
      <c r="B62" s="15"/>
      <c r="C62" s="15"/>
      <c r="D62" s="15"/>
      <c r="E62" s="15"/>
      <c r="F62" s="15"/>
    </row>
    <row r="63" spans="1:6" ht="15" customHeight="1" x14ac:dyDescent="0.3">
      <c r="A63" s="46" t="s">
        <v>610</v>
      </c>
      <c r="B63" s="15"/>
      <c r="C63" s="15"/>
      <c r="D63" s="15"/>
      <c r="E63" s="15"/>
      <c r="F63" s="15"/>
    </row>
    <row r="64" spans="1:6" ht="102" customHeight="1" x14ac:dyDescent="0.3">
      <c r="A64" s="30" t="s">
        <v>611</v>
      </c>
      <c r="B64" s="15"/>
      <c r="C64" s="15"/>
      <c r="D64" s="15"/>
      <c r="E64" s="15"/>
      <c r="F64" s="15"/>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1:F64"/>
  <sheetViews>
    <sheetView showGridLines="0" zoomScaleNormal="100" workbookViewId="0"/>
  </sheetViews>
  <sheetFormatPr defaultColWidth="8.6328125" defaultRowHeight="14.5" x14ac:dyDescent="0.35"/>
  <cols>
    <col min="1" max="1" width="16" style="14" customWidth="1"/>
    <col min="2" max="3" width="60" style="14" customWidth="1"/>
    <col min="5" max="6" width="20" style="14" customWidth="1"/>
  </cols>
  <sheetData>
    <row r="1" spans="1:6" ht="17.25" customHeight="1" x14ac:dyDescent="0.35">
      <c r="A1" s="45" t="s">
        <v>612</v>
      </c>
      <c r="B1" s="15"/>
      <c r="C1" s="15"/>
      <c r="D1" s="15"/>
      <c r="E1" s="27" t="str">
        <f>HYPERLINK("#TRANGCHU!A1","⬅ Về Trang chủ")</f>
        <v>⬅ Về Trang chủ</v>
      </c>
      <c r="F1" s="27" t="str">
        <f>HYPERLINK("#HUONGDAN!A1","📖 Về Hướng dẫn")</f>
        <v>📖 Về Hướng dẫn</v>
      </c>
    </row>
    <row r="2" spans="1:6" ht="15" customHeight="1" x14ac:dyDescent="0.3">
      <c r="A2" s="28" t="s">
        <v>613</v>
      </c>
      <c r="B2" s="15"/>
      <c r="C2" s="15"/>
      <c r="D2" s="15"/>
      <c r="E2" s="15"/>
      <c r="F2" s="15"/>
    </row>
    <row r="3" spans="1:6" ht="15" customHeight="1" x14ac:dyDescent="0.3">
      <c r="A3" s="15"/>
      <c r="B3" s="15"/>
      <c r="C3" s="15"/>
      <c r="D3" s="15"/>
      <c r="E3" s="15"/>
      <c r="F3" s="15"/>
    </row>
    <row r="4" spans="1:6" ht="15" customHeight="1" x14ac:dyDescent="0.3">
      <c r="A4" s="46" t="s">
        <v>545</v>
      </c>
      <c r="B4" s="15"/>
      <c r="C4" s="15"/>
      <c r="D4" s="15"/>
      <c r="E4" s="15"/>
      <c r="F4" s="15"/>
    </row>
    <row r="5" spans="1:6" ht="147" customHeight="1" x14ac:dyDescent="0.3">
      <c r="A5" s="30" t="s">
        <v>614</v>
      </c>
      <c r="B5" s="15"/>
      <c r="C5" s="15"/>
      <c r="D5" s="15"/>
      <c r="E5" s="15"/>
      <c r="F5" s="15"/>
    </row>
    <row r="6" spans="1:6" ht="15" customHeight="1" x14ac:dyDescent="0.3">
      <c r="A6" s="15"/>
      <c r="B6" s="15"/>
      <c r="C6" s="15"/>
      <c r="D6" s="15"/>
      <c r="E6" s="15"/>
      <c r="F6" s="15"/>
    </row>
    <row r="7" spans="1:6" ht="15" customHeight="1" x14ac:dyDescent="0.3">
      <c r="A7" s="46" t="s">
        <v>615</v>
      </c>
      <c r="B7" s="15"/>
      <c r="C7" s="15"/>
      <c r="D7" s="15"/>
      <c r="E7" s="15"/>
      <c r="F7" s="15"/>
    </row>
    <row r="8" spans="1:6" ht="15" customHeight="1" x14ac:dyDescent="0.3">
      <c r="A8" s="47" t="s">
        <v>68</v>
      </c>
      <c r="B8" s="47" t="s">
        <v>141</v>
      </c>
      <c r="C8" s="47" t="s">
        <v>548</v>
      </c>
      <c r="D8" s="15"/>
      <c r="E8" s="15"/>
      <c r="F8" s="15"/>
    </row>
    <row r="9" spans="1:6" ht="27.75" customHeight="1" x14ac:dyDescent="0.3">
      <c r="A9" s="48" t="s">
        <v>71</v>
      </c>
      <c r="B9" s="49" t="s">
        <v>149</v>
      </c>
      <c r="C9" s="36" t="s">
        <v>616</v>
      </c>
      <c r="D9" s="15"/>
      <c r="E9" s="15"/>
      <c r="F9" s="15"/>
    </row>
    <row r="10" spans="1:6" ht="27.75" customHeight="1" x14ac:dyDescent="0.3">
      <c r="A10" s="48" t="s">
        <v>71</v>
      </c>
      <c r="B10" s="49" t="s">
        <v>157</v>
      </c>
      <c r="C10" s="36" t="s">
        <v>617</v>
      </c>
      <c r="D10" s="15"/>
      <c r="E10" s="15"/>
      <c r="F10" s="15"/>
    </row>
    <row r="11" spans="1:6" ht="27.75" customHeight="1" x14ac:dyDescent="0.3">
      <c r="A11" s="48" t="s">
        <v>71</v>
      </c>
      <c r="B11" s="49" t="s">
        <v>165</v>
      </c>
      <c r="C11" s="36" t="s">
        <v>618</v>
      </c>
      <c r="D11" s="15"/>
      <c r="E11" s="15"/>
      <c r="F11" s="15"/>
    </row>
    <row r="12" spans="1:6" ht="27.75" customHeight="1" x14ac:dyDescent="0.3">
      <c r="A12" s="48" t="s">
        <v>71</v>
      </c>
      <c r="B12" s="49" t="s">
        <v>172</v>
      </c>
      <c r="C12" s="36" t="s">
        <v>619</v>
      </c>
      <c r="D12" s="15"/>
      <c r="E12" s="15"/>
      <c r="F12" s="15"/>
    </row>
    <row r="13" spans="1:6" ht="27.75" customHeight="1" x14ac:dyDescent="0.3">
      <c r="A13" s="48" t="s">
        <v>71</v>
      </c>
      <c r="B13" s="49" t="s">
        <v>178</v>
      </c>
      <c r="C13" s="36" t="s">
        <v>620</v>
      </c>
      <c r="D13" s="15"/>
      <c r="E13" s="15"/>
      <c r="F13" s="15"/>
    </row>
    <row r="14" spans="1:6" ht="27.75" customHeight="1" x14ac:dyDescent="0.3">
      <c r="A14" s="48" t="s">
        <v>71</v>
      </c>
      <c r="B14" s="49" t="s">
        <v>184</v>
      </c>
      <c r="C14" s="36" t="s">
        <v>621</v>
      </c>
      <c r="D14" s="15"/>
      <c r="E14" s="15"/>
      <c r="F14" s="15"/>
    </row>
    <row r="15" spans="1:6" ht="27.75" customHeight="1" x14ac:dyDescent="0.3">
      <c r="A15" s="48" t="s">
        <v>71</v>
      </c>
      <c r="B15" s="49" t="s">
        <v>190</v>
      </c>
      <c r="C15" s="36" t="s">
        <v>622</v>
      </c>
      <c r="D15" s="15"/>
      <c r="E15" s="15"/>
      <c r="F15" s="15"/>
    </row>
    <row r="16" spans="1:6" ht="27.75" customHeight="1" x14ac:dyDescent="0.3">
      <c r="A16" s="50" t="s">
        <v>73</v>
      </c>
      <c r="B16" s="49" t="s">
        <v>197</v>
      </c>
      <c r="C16" s="36" t="s">
        <v>623</v>
      </c>
      <c r="D16" s="15"/>
      <c r="E16" s="15"/>
      <c r="F16" s="15"/>
    </row>
    <row r="17" spans="1:6" ht="27.75" customHeight="1" x14ac:dyDescent="0.3">
      <c r="A17" s="50" t="s">
        <v>73</v>
      </c>
      <c r="B17" s="49" t="s">
        <v>204</v>
      </c>
      <c r="C17" s="36" t="s">
        <v>624</v>
      </c>
      <c r="D17" s="15"/>
      <c r="E17" s="15"/>
      <c r="F17" s="15"/>
    </row>
    <row r="18" spans="1:6" ht="27.75" customHeight="1" x14ac:dyDescent="0.3">
      <c r="A18" s="50" t="s">
        <v>73</v>
      </c>
      <c r="B18" s="49" t="s">
        <v>210</v>
      </c>
      <c r="C18" s="36" t="s">
        <v>625</v>
      </c>
      <c r="D18" s="15"/>
      <c r="E18" s="15"/>
      <c r="F18" s="15"/>
    </row>
    <row r="19" spans="1:6" ht="27.75" customHeight="1" x14ac:dyDescent="0.3">
      <c r="A19" s="50" t="s">
        <v>73</v>
      </c>
      <c r="B19" s="49" t="s">
        <v>218</v>
      </c>
      <c r="C19" s="36" t="s">
        <v>626</v>
      </c>
      <c r="D19" s="15"/>
      <c r="E19" s="15"/>
      <c r="F19" s="15"/>
    </row>
    <row r="20" spans="1:6" ht="27.75" customHeight="1" x14ac:dyDescent="0.3">
      <c r="A20" s="50" t="s">
        <v>73</v>
      </c>
      <c r="B20" s="49" t="s">
        <v>225</v>
      </c>
      <c r="C20" s="36" t="s">
        <v>627</v>
      </c>
      <c r="D20" s="15"/>
      <c r="E20" s="15"/>
      <c r="F20" s="15"/>
    </row>
    <row r="21" spans="1:6" ht="27.75" customHeight="1" x14ac:dyDescent="0.3">
      <c r="A21" s="50" t="s">
        <v>73</v>
      </c>
      <c r="B21" s="49" t="s">
        <v>232</v>
      </c>
      <c r="C21" s="36" t="s">
        <v>628</v>
      </c>
      <c r="D21" s="15"/>
      <c r="E21" s="15"/>
      <c r="F21" s="15"/>
    </row>
    <row r="22" spans="1:6" ht="27.75" customHeight="1" x14ac:dyDescent="0.3">
      <c r="A22" s="50" t="s">
        <v>73</v>
      </c>
      <c r="B22" s="49" t="s">
        <v>238</v>
      </c>
      <c r="C22" s="36" t="s">
        <v>629</v>
      </c>
      <c r="D22" s="15"/>
      <c r="E22" s="15"/>
      <c r="F22" s="15"/>
    </row>
    <row r="23" spans="1:6" ht="27.75" customHeight="1" x14ac:dyDescent="0.3">
      <c r="A23" s="50" t="s">
        <v>73</v>
      </c>
      <c r="B23" s="49" t="s">
        <v>244</v>
      </c>
      <c r="C23" s="36" t="s">
        <v>630</v>
      </c>
      <c r="D23" s="15"/>
      <c r="E23" s="15"/>
      <c r="F23" s="15"/>
    </row>
    <row r="24" spans="1:6" ht="15" customHeight="1" x14ac:dyDescent="0.3">
      <c r="A24" s="51" t="s">
        <v>251</v>
      </c>
      <c r="B24" s="49" t="s">
        <v>252</v>
      </c>
      <c r="C24" s="36" t="s">
        <v>631</v>
      </c>
      <c r="D24" s="15"/>
      <c r="E24" s="15"/>
      <c r="F24" s="15"/>
    </row>
    <row r="25" spans="1:6" ht="15" customHeight="1" x14ac:dyDescent="0.3">
      <c r="A25" s="51" t="s">
        <v>251</v>
      </c>
      <c r="B25" s="49" t="s">
        <v>258</v>
      </c>
      <c r="C25" s="36" t="s">
        <v>632</v>
      </c>
      <c r="D25" s="15"/>
      <c r="E25" s="15"/>
      <c r="F25" s="15"/>
    </row>
    <row r="26" spans="1:6" ht="27.75" customHeight="1" x14ac:dyDescent="0.3">
      <c r="A26" s="51" t="s">
        <v>251</v>
      </c>
      <c r="B26" s="49" t="s">
        <v>264</v>
      </c>
      <c r="C26" s="36" t="s">
        <v>633</v>
      </c>
      <c r="D26" s="15"/>
      <c r="E26" s="15"/>
      <c r="F26" s="15"/>
    </row>
    <row r="27" spans="1:6" ht="15" customHeight="1" x14ac:dyDescent="0.3">
      <c r="A27" s="51" t="s">
        <v>251</v>
      </c>
      <c r="B27" s="49" t="s">
        <v>270</v>
      </c>
      <c r="C27" s="36" t="s">
        <v>634</v>
      </c>
      <c r="D27" s="15"/>
      <c r="E27" s="15"/>
      <c r="F27" s="15"/>
    </row>
    <row r="28" spans="1:6" ht="27.75" customHeight="1" x14ac:dyDescent="0.3">
      <c r="A28" s="52" t="s">
        <v>77</v>
      </c>
      <c r="B28" s="49" t="s">
        <v>276</v>
      </c>
      <c r="C28" s="36" t="s">
        <v>635</v>
      </c>
      <c r="D28" s="15"/>
      <c r="E28" s="15"/>
      <c r="F28" s="15"/>
    </row>
    <row r="29" spans="1:6" ht="27.75" customHeight="1" x14ac:dyDescent="0.3">
      <c r="A29" s="52" t="s">
        <v>77</v>
      </c>
      <c r="B29" s="49" t="s">
        <v>282</v>
      </c>
      <c r="C29" s="36" t="s">
        <v>636</v>
      </c>
      <c r="D29" s="15"/>
      <c r="E29" s="15"/>
      <c r="F29" s="15"/>
    </row>
    <row r="30" spans="1:6" ht="27.75" customHeight="1" x14ac:dyDescent="0.3">
      <c r="A30" s="52" t="s">
        <v>77</v>
      </c>
      <c r="B30" s="49" t="s">
        <v>288</v>
      </c>
      <c r="C30" s="36" t="s">
        <v>637</v>
      </c>
      <c r="D30" s="15"/>
      <c r="E30" s="15"/>
      <c r="F30" s="15"/>
    </row>
    <row r="31" spans="1:6" ht="27.75" customHeight="1" x14ac:dyDescent="0.3">
      <c r="A31" s="52" t="s">
        <v>77</v>
      </c>
      <c r="B31" s="49" t="s">
        <v>294</v>
      </c>
      <c r="C31" s="36" t="s">
        <v>638</v>
      </c>
      <c r="D31" s="15"/>
      <c r="E31" s="15"/>
      <c r="F31" s="15"/>
    </row>
    <row r="32" spans="1:6" ht="27.75" customHeight="1" x14ac:dyDescent="0.3">
      <c r="A32" s="52" t="s">
        <v>77</v>
      </c>
      <c r="B32" s="49" t="s">
        <v>300</v>
      </c>
      <c r="C32" s="36" t="s">
        <v>639</v>
      </c>
      <c r="D32" s="15"/>
      <c r="E32" s="15"/>
      <c r="F32" s="15"/>
    </row>
    <row r="33" spans="1:6" ht="41.25" customHeight="1" x14ac:dyDescent="0.3">
      <c r="A33" s="52" t="s">
        <v>77</v>
      </c>
      <c r="B33" s="49" t="s">
        <v>306</v>
      </c>
      <c r="C33" s="36" t="s">
        <v>640</v>
      </c>
      <c r="D33" s="15"/>
      <c r="E33" s="15"/>
      <c r="F33" s="15"/>
    </row>
    <row r="34" spans="1:6" ht="27.75" customHeight="1" x14ac:dyDescent="0.3">
      <c r="A34" s="53" t="s">
        <v>312</v>
      </c>
      <c r="B34" s="49" t="s">
        <v>313</v>
      </c>
      <c r="C34" s="36" t="s">
        <v>641</v>
      </c>
      <c r="D34" s="15"/>
      <c r="E34" s="15"/>
      <c r="F34" s="15"/>
    </row>
    <row r="35" spans="1:6" ht="27.75" customHeight="1" x14ac:dyDescent="0.3">
      <c r="A35" s="53" t="s">
        <v>312</v>
      </c>
      <c r="B35" s="49" t="s">
        <v>319</v>
      </c>
      <c r="C35" s="36" t="s">
        <v>642</v>
      </c>
      <c r="D35" s="15"/>
      <c r="E35" s="15"/>
      <c r="F35" s="15"/>
    </row>
    <row r="36" spans="1:6" ht="27.75" customHeight="1" x14ac:dyDescent="0.3">
      <c r="A36" s="53" t="s">
        <v>312</v>
      </c>
      <c r="B36" s="49" t="s">
        <v>325</v>
      </c>
      <c r="C36" s="36" t="s">
        <v>643</v>
      </c>
      <c r="D36" s="15"/>
      <c r="E36" s="15"/>
      <c r="F36" s="15"/>
    </row>
    <row r="37" spans="1:6" ht="27.75" customHeight="1" x14ac:dyDescent="0.3">
      <c r="A37" s="53" t="s">
        <v>312</v>
      </c>
      <c r="B37" s="49" t="s">
        <v>331</v>
      </c>
      <c r="C37" s="36" t="s">
        <v>644</v>
      </c>
      <c r="D37" s="15"/>
      <c r="E37" s="15"/>
      <c r="F37" s="15"/>
    </row>
    <row r="38" spans="1:6" ht="27.75" customHeight="1" x14ac:dyDescent="0.3">
      <c r="A38" s="53" t="s">
        <v>312</v>
      </c>
      <c r="B38" s="49" t="s">
        <v>337</v>
      </c>
      <c r="C38" s="36" t="s">
        <v>645</v>
      </c>
      <c r="D38" s="15"/>
      <c r="E38" s="15"/>
      <c r="F38" s="15"/>
    </row>
    <row r="39" spans="1:6" ht="15" customHeight="1" x14ac:dyDescent="0.3">
      <c r="A39" s="15"/>
      <c r="B39" s="15"/>
      <c r="C39" s="15"/>
      <c r="D39" s="15"/>
      <c r="E39" s="15"/>
      <c r="F39" s="15"/>
    </row>
    <row r="40" spans="1:6" ht="15" customHeight="1" x14ac:dyDescent="0.3">
      <c r="A40" s="46" t="s">
        <v>579</v>
      </c>
      <c r="B40" s="15"/>
      <c r="C40" s="15"/>
      <c r="D40" s="15"/>
      <c r="E40" s="15"/>
      <c r="F40" s="15"/>
    </row>
    <row r="41" spans="1:6" ht="15" customHeight="1" x14ac:dyDescent="0.3">
      <c r="A41" s="47" t="s">
        <v>580</v>
      </c>
      <c r="B41" s="47" t="s">
        <v>581</v>
      </c>
      <c r="C41" s="15"/>
      <c r="D41" s="15"/>
      <c r="E41" s="15"/>
      <c r="F41" s="15"/>
    </row>
    <row r="42" spans="1:6" ht="15" customHeight="1" x14ac:dyDescent="0.3">
      <c r="A42" s="49" t="s">
        <v>582</v>
      </c>
      <c r="B42" s="32" t="s">
        <v>583</v>
      </c>
      <c r="C42" s="15"/>
      <c r="D42" s="15"/>
      <c r="E42" s="15"/>
      <c r="F42" s="15"/>
    </row>
    <row r="43" spans="1:6" ht="15" customHeight="1" x14ac:dyDescent="0.3">
      <c r="A43" s="49" t="s">
        <v>584</v>
      </c>
      <c r="B43" s="32" t="s">
        <v>585</v>
      </c>
      <c r="C43" s="15"/>
      <c r="D43" s="15"/>
      <c r="E43" s="15"/>
      <c r="F43" s="15"/>
    </row>
    <row r="44" spans="1:6" ht="15" customHeight="1" x14ac:dyDescent="0.3">
      <c r="A44" s="49" t="s">
        <v>586</v>
      </c>
      <c r="B44" s="32" t="s">
        <v>587</v>
      </c>
      <c r="C44" s="15"/>
      <c r="D44" s="15"/>
      <c r="E44" s="15"/>
      <c r="F44" s="15"/>
    </row>
    <row r="45" spans="1:6" ht="15" customHeight="1" x14ac:dyDescent="0.3">
      <c r="A45" s="49" t="s">
        <v>588</v>
      </c>
      <c r="B45" s="32" t="s">
        <v>589</v>
      </c>
      <c r="C45" s="15"/>
      <c r="D45" s="15"/>
      <c r="E45" s="15"/>
      <c r="F45" s="15"/>
    </row>
    <row r="46" spans="1:6" ht="15" customHeight="1" x14ac:dyDescent="0.3">
      <c r="A46" s="49" t="s">
        <v>590</v>
      </c>
      <c r="B46" s="32" t="s">
        <v>591</v>
      </c>
      <c r="C46" s="15"/>
      <c r="D46" s="15"/>
      <c r="E46" s="15"/>
      <c r="F46" s="15"/>
    </row>
    <row r="47" spans="1:6" ht="15" customHeight="1" x14ac:dyDescent="0.3">
      <c r="A47" s="49" t="s">
        <v>592</v>
      </c>
      <c r="B47" s="32" t="s">
        <v>593</v>
      </c>
      <c r="C47" s="15"/>
      <c r="D47" s="15"/>
      <c r="E47" s="15"/>
      <c r="F47" s="15"/>
    </row>
    <row r="48" spans="1:6" ht="15" customHeight="1" x14ac:dyDescent="0.3">
      <c r="A48" s="49" t="s">
        <v>594</v>
      </c>
      <c r="B48" s="32" t="s">
        <v>595</v>
      </c>
      <c r="C48" s="15"/>
      <c r="D48" s="15"/>
      <c r="E48" s="15"/>
      <c r="F48" s="15"/>
    </row>
    <row r="49" spans="1:6" ht="15" customHeight="1" x14ac:dyDescent="0.3">
      <c r="A49" s="49" t="s">
        <v>596</v>
      </c>
      <c r="B49" s="32" t="s">
        <v>597</v>
      </c>
      <c r="C49" s="15"/>
      <c r="D49" s="15"/>
      <c r="E49" s="15"/>
      <c r="F49" s="15"/>
    </row>
    <row r="50" spans="1:6" ht="15" customHeight="1" x14ac:dyDescent="0.3">
      <c r="A50" s="49" t="s">
        <v>598</v>
      </c>
      <c r="B50" s="32" t="s">
        <v>599</v>
      </c>
      <c r="C50" s="15"/>
      <c r="D50" s="15"/>
      <c r="E50" s="15"/>
      <c r="F50" s="15"/>
    </row>
    <row r="51" spans="1:6" ht="15" customHeight="1" x14ac:dyDescent="0.3">
      <c r="A51" s="49" t="s">
        <v>600</v>
      </c>
      <c r="B51" s="32" t="s">
        <v>601</v>
      </c>
      <c r="C51" s="15"/>
      <c r="D51" s="15"/>
      <c r="E51" s="15"/>
      <c r="F51" s="15"/>
    </row>
    <row r="52" spans="1:6" ht="15" customHeight="1" x14ac:dyDescent="0.3">
      <c r="A52" s="15"/>
      <c r="B52" s="15"/>
      <c r="C52" s="15"/>
      <c r="D52" s="15"/>
      <c r="E52" s="15"/>
      <c r="F52" s="15"/>
    </row>
    <row r="53" spans="1:6" ht="15" customHeight="1" x14ac:dyDescent="0.3">
      <c r="A53" s="46" t="s">
        <v>602</v>
      </c>
      <c r="B53" s="15"/>
      <c r="C53" s="15"/>
      <c r="D53" s="15"/>
      <c r="E53" s="15"/>
      <c r="F53" s="15"/>
    </row>
    <row r="54" spans="1:6" ht="57" customHeight="1" x14ac:dyDescent="0.3">
      <c r="A54" s="30" t="s">
        <v>646</v>
      </c>
      <c r="B54" s="15"/>
      <c r="C54" s="15"/>
      <c r="D54" s="15"/>
      <c r="E54" s="15"/>
      <c r="F54" s="15"/>
    </row>
    <row r="55" spans="1:6" ht="57" customHeight="1" x14ac:dyDescent="0.3">
      <c r="A55" s="30" t="s">
        <v>647</v>
      </c>
      <c r="B55" s="15"/>
      <c r="C55" s="15"/>
      <c r="D55" s="15"/>
      <c r="E55" s="15"/>
      <c r="F55" s="15"/>
    </row>
    <row r="56" spans="1:6" ht="68.25" customHeight="1" x14ac:dyDescent="0.3">
      <c r="A56" s="30" t="s">
        <v>648</v>
      </c>
      <c r="B56" s="15"/>
      <c r="C56" s="15"/>
      <c r="D56" s="15"/>
      <c r="E56" s="15"/>
      <c r="F56" s="15"/>
    </row>
    <row r="57" spans="1:6" ht="68.25" customHeight="1" x14ac:dyDescent="0.3">
      <c r="A57" s="30" t="s">
        <v>649</v>
      </c>
      <c r="B57" s="15"/>
      <c r="C57" s="15"/>
      <c r="D57" s="15"/>
      <c r="E57" s="15"/>
      <c r="F57" s="15"/>
    </row>
    <row r="58" spans="1:6" ht="45.75" customHeight="1" x14ac:dyDescent="0.3">
      <c r="A58" s="30" t="s">
        <v>650</v>
      </c>
      <c r="B58" s="15"/>
      <c r="C58" s="15"/>
      <c r="D58" s="15"/>
      <c r="E58" s="15"/>
      <c r="F58" s="15"/>
    </row>
    <row r="59" spans="1:6" ht="15" customHeight="1" x14ac:dyDescent="0.3">
      <c r="A59" s="15"/>
      <c r="B59" s="15"/>
      <c r="C59" s="15"/>
      <c r="D59" s="15"/>
      <c r="E59" s="15"/>
      <c r="F59" s="15"/>
    </row>
    <row r="60" spans="1:6" ht="15" customHeight="1" x14ac:dyDescent="0.3">
      <c r="A60" s="46" t="s">
        <v>608</v>
      </c>
      <c r="B60" s="15"/>
      <c r="C60" s="15"/>
      <c r="D60" s="15"/>
      <c r="E60" s="15"/>
      <c r="F60" s="15"/>
    </row>
    <row r="61" spans="1:6" ht="90.75" customHeight="1" x14ac:dyDescent="0.3">
      <c r="A61" s="30" t="s">
        <v>609</v>
      </c>
      <c r="B61" s="15"/>
      <c r="C61" s="15"/>
      <c r="D61" s="15"/>
      <c r="E61" s="15"/>
      <c r="F61" s="15"/>
    </row>
    <row r="62" spans="1:6" ht="15" customHeight="1" x14ac:dyDescent="0.3">
      <c r="A62" s="15"/>
      <c r="B62" s="15"/>
      <c r="C62" s="15"/>
      <c r="D62" s="15"/>
      <c r="E62" s="15"/>
      <c r="F62" s="15"/>
    </row>
    <row r="63" spans="1:6" ht="15" customHeight="1" x14ac:dyDescent="0.3">
      <c r="A63" s="46" t="s">
        <v>610</v>
      </c>
      <c r="B63" s="15"/>
      <c r="C63" s="15"/>
      <c r="D63" s="15"/>
      <c r="E63" s="15"/>
      <c r="F63" s="15"/>
    </row>
    <row r="64" spans="1:6" ht="102" customHeight="1" x14ac:dyDescent="0.3">
      <c r="A64" s="30" t="s">
        <v>611</v>
      </c>
      <c r="B64" s="15"/>
      <c r="C64" s="15"/>
      <c r="D64" s="15"/>
      <c r="E64" s="15"/>
      <c r="F64" s="15"/>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F64"/>
  <sheetViews>
    <sheetView showGridLines="0" topLeftCell="A5" zoomScaleNormal="100" workbookViewId="0"/>
  </sheetViews>
  <sheetFormatPr defaultColWidth="8.6328125" defaultRowHeight="14.5" x14ac:dyDescent="0.35"/>
  <cols>
    <col min="1" max="1" width="16" style="14" customWidth="1"/>
    <col min="2" max="3" width="60" style="14" customWidth="1"/>
    <col min="5" max="6" width="20" style="14" customWidth="1"/>
  </cols>
  <sheetData>
    <row r="1" spans="1:6" ht="17.25" customHeight="1" x14ac:dyDescent="0.35">
      <c r="A1" s="45" t="s">
        <v>651</v>
      </c>
      <c r="B1" s="15"/>
      <c r="C1" s="15"/>
      <c r="D1" s="15"/>
      <c r="E1" s="27" t="str">
        <f>HYPERLINK("#TRANGCHU!A1","⬅ Về Trang chủ")</f>
        <v>⬅ Về Trang chủ</v>
      </c>
      <c r="F1" s="27" t="str">
        <f>HYPERLINK("#HUONGDAN!A1","📖 Về Hướng dẫn")</f>
        <v>📖 Về Hướng dẫn</v>
      </c>
    </row>
    <row r="2" spans="1:6" ht="15" customHeight="1" x14ac:dyDescent="0.3">
      <c r="A2" s="28" t="s">
        <v>652</v>
      </c>
      <c r="B2" s="15"/>
      <c r="C2" s="15"/>
      <c r="D2" s="15"/>
      <c r="E2" s="15"/>
      <c r="F2" s="15"/>
    </row>
    <row r="3" spans="1:6" ht="15" customHeight="1" x14ac:dyDescent="0.3">
      <c r="A3" s="15"/>
      <c r="B3" s="15"/>
      <c r="C3" s="15"/>
      <c r="D3" s="15"/>
      <c r="E3" s="15"/>
      <c r="F3" s="15"/>
    </row>
    <row r="4" spans="1:6" ht="15" customHeight="1" x14ac:dyDescent="0.3">
      <c r="A4" s="46" t="s">
        <v>545</v>
      </c>
      <c r="B4" s="15"/>
      <c r="C4" s="15"/>
      <c r="D4" s="15"/>
      <c r="E4" s="15"/>
      <c r="F4" s="15"/>
    </row>
    <row r="5" spans="1:6" ht="124.5" customHeight="1" x14ac:dyDescent="0.3">
      <c r="A5" s="30" t="s">
        <v>653</v>
      </c>
      <c r="B5" s="15"/>
      <c r="C5" s="15"/>
      <c r="D5" s="15"/>
      <c r="E5" s="15"/>
      <c r="F5" s="15"/>
    </row>
    <row r="6" spans="1:6" ht="15" customHeight="1" x14ac:dyDescent="0.3">
      <c r="A6" s="15"/>
      <c r="B6" s="15"/>
      <c r="C6" s="15"/>
      <c r="D6" s="15"/>
      <c r="E6" s="15"/>
      <c r="F6" s="15"/>
    </row>
    <row r="7" spans="1:6" ht="15" customHeight="1" x14ac:dyDescent="0.3">
      <c r="A7" s="46" t="s">
        <v>654</v>
      </c>
      <c r="B7" s="15"/>
      <c r="C7" s="15"/>
      <c r="D7" s="15"/>
      <c r="E7" s="15"/>
      <c r="F7" s="15"/>
    </row>
    <row r="8" spans="1:6" ht="15" customHeight="1" x14ac:dyDescent="0.3">
      <c r="A8" s="47" t="s">
        <v>68</v>
      </c>
      <c r="B8" s="47" t="s">
        <v>141</v>
      </c>
      <c r="C8" s="47" t="s">
        <v>548</v>
      </c>
      <c r="D8" s="15"/>
      <c r="E8" s="15"/>
      <c r="F8" s="15"/>
    </row>
    <row r="9" spans="1:6" ht="27.75" customHeight="1" x14ac:dyDescent="0.3">
      <c r="A9" s="48" t="s">
        <v>71</v>
      </c>
      <c r="B9" s="49" t="s">
        <v>149</v>
      </c>
      <c r="C9" s="36" t="s">
        <v>655</v>
      </c>
      <c r="D9" s="15"/>
      <c r="E9" s="15"/>
      <c r="F9" s="15"/>
    </row>
    <row r="10" spans="1:6" ht="27.75" customHeight="1" x14ac:dyDescent="0.3">
      <c r="A10" s="48" t="s">
        <v>71</v>
      </c>
      <c r="B10" s="49" t="s">
        <v>157</v>
      </c>
      <c r="C10" s="36" t="s">
        <v>656</v>
      </c>
      <c r="D10" s="15"/>
      <c r="E10" s="15"/>
      <c r="F10" s="15"/>
    </row>
    <row r="11" spans="1:6" ht="27.75" customHeight="1" x14ac:dyDescent="0.3">
      <c r="A11" s="48" t="s">
        <v>71</v>
      </c>
      <c r="B11" s="49" t="s">
        <v>165</v>
      </c>
      <c r="C11" s="36" t="s">
        <v>657</v>
      </c>
      <c r="D11" s="15"/>
      <c r="E11" s="15"/>
      <c r="F11" s="15"/>
    </row>
    <row r="12" spans="1:6" ht="27.75" customHeight="1" x14ac:dyDescent="0.3">
      <c r="A12" s="48" t="s">
        <v>71</v>
      </c>
      <c r="B12" s="49" t="s">
        <v>172</v>
      </c>
      <c r="C12" s="36" t="s">
        <v>658</v>
      </c>
      <c r="D12" s="15"/>
      <c r="E12" s="15"/>
      <c r="F12" s="15"/>
    </row>
    <row r="13" spans="1:6" ht="27.75" customHeight="1" x14ac:dyDescent="0.3">
      <c r="A13" s="48" t="s">
        <v>71</v>
      </c>
      <c r="B13" s="49" t="s">
        <v>178</v>
      </c>
      <c r="C13" s="36" t="s">
        <v>659</v>
      </c>
      <c r="D13" s="15"/>
      <c r="E13" s="15"/>
      <c r="F13" s="15"/>
    </row>
    <row r="14" spans="1:6" ht="27.75" customHeight="1" x14ac:dyDescent="0.3">
      <c r="A14" s="48" t="s">
        <v>71</v>
      </c>
      <c r="B14" s="49" t="s">
        <v>184</v>
      </c>
      <c r="C14" s="36" t="s">
        <v>660</v>
      </c>
      <c r="D14" s="15"/>
      <c r="E14" s="15"/>
      <c r="F14" s="15"/>
    </row>
    <row r="15" spans="1:6" ht="27.75" customHeight="1" x14ac:dyDescent="0.3">
      <c r="A15" s="48" t="s">
        <v>71</v>
      </c>
      <c r="B15" s="49" t="s">
        <v>190</v>
      </c>
      <c r="C15" s="36" t="s">
        <v>661</v>
      </c>
      <c r="D15" s="15"/>
      <c r="E15" s="15"/>
      <c r="F15" s="15"/>
    </row>
    <row r="16" spans="1:6" ht="27.75" customHeight="1" x14ac:dyDescent="0.3">
      <c r="A16" s="50" t="s">
        <v>73</v>
      </c>
      <c r="B16" s="49" t="s">
        <v>197</v>
      </c>
      <c r="C16" s="36" t="s">
        <v>662</v>
      </c>
      <c r="D16" s="15"/>
      <c r="E16" s="15"/>
      <c r="F16" s="15"/>
    </row>
    <row r="17" spans="1:6" ht="27.75" customHeight="1" x14ac:dyDescent="0.3">
      <c r="A17" s="50" t="s">
        <v>73</v>
      </c>
      <c r="B17" s="49" t="s">
        <v>204</v>
      </c>
      <c r="C17" s="36" t="s">
        <v>663</v>
      </c>
      <c r="D17" s="15"/>
      <c r="E17" s="15"/>
      <c r="F17" s="15"/>
    </row>
    <row r="18" spans="1:6" ht="27.75" customHeight="1" x14ac:dyDescent="0.3">
      <c r="A18" s="50" t="s">
        <v>73</v>
      </c>
      <c r="B18" s="49" t="s">
        <v>210</v>
      </c>
      <c r="C18" s="36" t="s">
        <v>664</v>
      </c>
      <c r="D18" s="15"/>
      <c r="E18" s="15"/>
      <c r="F18" s="15"/>
    </row>
    <row r="19" spans="1:6" ht="27.75" customHeight="1" x14ac:dyDescent="0.3">
      <c r="A19" s="50" t="s">
        <v>73</v>
      </c>
      <c r="B19" s="49" t="s">
        <v>218</v>
      </c>
      <c r="C19" s="36" t="s">
        <v>665</v>
      </c>
      <c r="D19" s="15"/>
      <c r="E19" s="15"/>
      <c r="F19" s="15"/>
    </row>
    <row r="20" spans="1:6" ht="27.75" customHeight="1" x14ac:dyDescent="0.3">
      <c r="A20" s="50" t="s">
        <v>73</v>
      </c>
      <c r="B20" s="49" t="s">
        <v>225</v>
      </c>
      <c r="C20" s="36" t="s">
        <v>666</v>
      </c>
      <c r="D20" s="15"/>
      <c r="E20" s="15"/>
      <c r="F20" s="15"/>
    </row>
    <row r="21" spans="1:6" ht="27.75" customHeight="1" x14ac:dyDescent="0.3">
      <c r="A21" s="50" t="s">
        <v>73</v>
      </c>
      <c r="B21" s="49" t="s">
        <v>232</v>
      </c>
      <c r="C21" s="36" t="s">
        <v>667</v>
      </c>
      <c r="D21" s="15"/>
      <c r="E21" s="15"/>
      <c r="F21" s="15"/>
    </row>
    <row r="22" spans="1:6" ht="27.75" customHeight="1" x14ac:dyDescent="0.3">
      <c r="A22" s="50" t="s">
        <v>73</v>
      </c>
      <c r="B22" s="49" t="s">
        <v>238</v>
      </c>
      <c r="C22" s="36" t="s">
        <v>668</v>
      </c>
      <c r="D22" s="15"/>
      <c r="E22" s="15"/>
      <c r="F22" s="15"/>
    </row>
    <row r="23" spans="1:6" ht="27.75" customHeight="1" x14ac:dyDescent="0.3">
      <c r="A23" s="50" t="s">
        <v>73</v>
      </c>
      <c r="B23" s="49" t="s">
        <v>244</v>
      </c>
      <c r="C23" s="36" t="s">
        <v>669</v>
      </c>
      <c r="D23" s="15"/>
      <c r="E23" s="15"/>
      <c r="F23" s="15"/>
    </row>
    <row r="24" spans="1:6" ht="27.75" customHeight="1" x14ac:dyDescent="0.3">
      <c r="A24" s="51" t="s">
        <v>251</v>
      </c>
      <c r="B24" s="49" t="s">
        <v>252</v>
      </c>
      <c r="C24" s="36" t="s">
        <v>670</v>
      </c>
      <c r="D24" s="15"/>
      <c r="E24" s="15"/>
      <c r="F24" s="15"/>
    </row>
    <row r="25" spans="1:6" ht="27.75" customHeight="1" x14ac:dyDescent="0.3">
      <c r="A25" s="51" t="s">
        <v>251</v>
      </c>
      <c r="B25" s="49" t="s">
        <v>258</v>
      </c>
      <c r="C25" s="36" t="s">
        <v>671</v>
      </c>
      <c r="D25" s="15"/>
      <c r="E25" s="15"/>
      <c r="F25" s="15"/>
    </row>
    <row r="26" spans="1:6" ht="27.75" customHeight="1" x14ac:dyDescent="0.3">
      <c r="A26" s="51" t="s">
        <v>251</v>
      </c>
      <c r="B26" s="49" t="s">
        <v>264</v>
      </c>
      <c r="C26" s="36" t="s">
        <v>672</v>
      </c>
      <c r="D26" s="15"/>
      <c r="E26" s="15"/>
      <c r="F26" s="15"/>
    </row>
    <row r="27" spans="1:6" ht="27.75" customHeight="1" x14ac:dyDescent="0.3">
      <c r="A27" s="51" t="s">
        <v>251</v>
      </c>
      <c r="B27" s="49" t="s">
        <v>270</v>
      </c>
      <c r="C27" s="36" t="s">
        <v>673</v>
      </c>
      <c r="D27" s="15"/>
      <c r="E27" s="15"/>
      <c r="F27" s="15"/>
    </row>
    <row r="28" spans="1:6" ht="27.75" customHeight="1" x14ac:dyDescent="0.3">
      <c r="A28" s="52" t="s">
        <v>77</v>
      </c>
      <c r="B28" s="49" t="s">
        <v>276</v>
      </c>
      <c r="C28" s="36" t="s">
        <v>674</v>
      </c>
      <c r="D28" s="15"/>
      <c r="E28" s="15"/>
      <c r="F28" s="15"/>
    </row>
    <row r="29" spans="1:6" ht="27.75" customHeight="1" x14ac:dyDescent="0.3">
      <c r="A29" s="52" t="s">
        <v>77</v>
      </c>
      <c r="B29" s="49" t="s">
        <v>282</v>
      </c>
      <c r="C29" s="36" t="s">
        <v>675</v>
      </c>
      <c r="D29" s="15"/>
      <c r="E29" s="15"/>
      <c r="F29" s="15"/>
    </row>
    <row r="30" spans="1:6" ht="27.75" customHeight="1" x14ac:dyDescent="0.3">
      <c r="A30" s="52" t="s">
        <v>77</v>
      </c>
      <c r="B30" s="49" t="s">
        <v>288</v>
      </c>
      <c r="C30" s="36" t="s">
        <v>676</v>
      </c>
      <c r="D30" s="15"/>
      <c r="E30" s="15"/>
      <c r="F30" s="15"/>
    </row>
    <row r="31" spans="1:6" ht="41.25" customHeight="1" x14ac:dyDescent="0.3">
      <c r="A31" s="52" t="s">
        <v>77</v>
      </c>
      <c r="B31" s="49" t="s">
        <v>294</v>
      </c>
      <c r="C31" s="36" t="s">
        <v>677</v>
      </c>
      <c r="D31" s="15"/>
      <c r="E31" s="15"/>
      <c r="F31" s="15"/>
    </row>
    <row r="32" spans="1:6" ht="27.75" customHeight="1" x14ac:dyDescent="0.3">
      <c r="A32" s="52" t="s">
        <v>77</v>
      </c>
      <c r="B32" s="49" t="s">
        <v>300</v>
      </c>
      <c r="C32" s="36" t="s">
        <v>678</v>
      </c>
      <c r="D32" s="15"/>
      <c r="E32" s="15"/>
      <c r="F32" s="15"/>
    </row>
    <row r="33" spans="1:6" ht="41.25" customHeight="1" x14ac:dyDescent="0.3">
      <c r="A33" s="52" t="s">
        <v>77</v>
      </c>
      <c r="B33" s="49" t="s">
        <v>306</v>
      </c>
      <c r="C33" s="36" t="s">
        <v>679</v>
      </c>
      <c r="D33" s="15"/>
      <c r="E33" s="15"/>
      <c r="F33" s="15"/>
    </row>
    <row r="34" spans="1:6" ht="27.75" customHeight="1" x14ac:dyDescent="0.3">
      <c r="A34" s="53" t="s">
        <v>312</v>
      </c>
      <c r="B34" s="49" t="s">
        <v>313</v>
      </c>
      <c r="C34" s="36" t="s">
        <v>680</v>
      </c>
      <c r="D34" s="15"/>
      <c r="E34" s="15"/>
      <c r="F34" s="15"/>
    </row>
    <row r="35" spans="1:6" ht="27.75" customHeight="1" x14ac:dyDescent="0.3">
      <c r="A35" s="53" t="s">
        <v>312</v>
      </c>
      <c r="B35" s="49" t="s">
        <v>319</v>
      </c>
      <c r="C35" s="36" t="s">
        <v>681</v>
      </c>
      <c r="D35" s="15"/>
      <c r="E35" s="15"/>
      <c r="F35" s="15"/>
    </row>
    <row r="36" spans="1:6" ht="27.75" customHeight="1" x14ac:dyDescent="0.3">
      <c r="A36" s="53" t="s">
        <v>312</v>
      </c>
      <c r="B36" s="49" t="s">
        <v>325</v>
      </c>
      <c r="C36" s="36" t="s">
        <v>682</v>
      </c>
      <c r="D36" s="15"/>
      <c r="E36" s="15"/>
      <c r="F36" s="15"/>
    </row>
    <row r="37" spans="1:6" ht="27.75" customHeight="1" x14ac:dyDescent="0.3">
      <c r="A37" s="53" t="s">
        <v>312</v>
      </c>
      <c r="B37" s="49" t="s">
        <v>331</v>
      </c>
      <c r="C37" s="36" t="s">
        <v>683</v>
      </c>
      <c r="D37" s="15"/>
      <c r="E37" s="15"/>
      <c r="F37" s="15"/>
    </row>
    <row r="38" spans="1:6" ht="27.75" customHeight="1" x14ac:dyDescent="0.3">
      <c r="A38" s="53" t="s">
        <v>312</v>
      </c>
      <c r="B38" s="49" t="s">
        <v>337</v>
      </c>
      <c r="C38" s="36" t="s">
        <v>684</v>
      </c>
      <c r="D38" s="15"/>
      <c r="E38" s="15"/>
      <c r="F38" s="15"/>
    </row>
    <row r="39" spans="1:6" ht="15" customHeight="1" x14ac:dyDescent="0.3">
      <c r="A39" s="15"/>
      <c r="B39" s="15"/>
      <c r="C39" s="15"/>
      <c r="D39" s="15"/>
      <c r="E39" s="15"/>
      <c r="F39" s="15"/>
    </row>
    <row r="40" spans="1:6" ht="15" customHeight="1" x14ac:dyDescent="0.3">
      <c r="A40" s="46" t="s">
        <v>579</v>
      </c>
      <c r="B40" s="15"/>
      <c r="C40" s="15"/>
      <c r="D40" s="15"/>
      <c r="E40" s="15"/>
      <c r="F40" s="15"/>
    </row>
    <row r="41" spans="1:6" ht="15" customHeight="1" x14ac:dyDescent="0.3">
      <c r="A41" s="47" t="s">
        <v>580</v>
      </c>
      <c r="B41" s="47" t="s">
        <v>581</v>
      </c>
      <c r="C41" s="15"/>
      <c r="D41" s="15"/>
      <c r="E41" s="15"/>
      <c r="F41" s="15"/>
    </row>
    <row r="42" spans="1:6" ht="15" customHeight="1" x14ac:dyDescent="0.3">
      <c r="A42" s="49" t="s">
        <v>582</v>
      </c>
      <c r="B42" s="32" t="s">
        <v>583</v>
      </c>
      <c r="C42" s="15"/>
      <c r="D42" s="15"/>
      <c r="E42" s="15"/>
      <c r="F42" s="15"/>
    </row>
    <row r="43" spans="1:6" ht="15" customHeight="1" x14ac:dyDescent="0.3">
      <c r="A43" s="49" t="s">
        <v>584</v>
      </c>
      <c r="B43" s="32" t="s">
        <v>585</v>
      </c>
      <c r="C43" s="15"/>
      <c r="D43" s="15"/>
      <c r="E43" s="15"/>
      <c r="F43" s="15"/>
    </row>
    <row r="44" spans="1:6" ht="15" customHeight="1" x14ac:dyDescent="0.3">
      <c r="A44" s="49" t="s">
        <v>586</v>
      </c>
      <c r="B44" s="32" t="s">
        <v>587</v>
      </c>
      <c r="C44" s="15"/>
      <c r="D44" s="15"/>
      <c r="E44" s="15"/>
      <c r="F44" s="15"/>
    </row>
    <row r="45" spans="1:6" ht="15" customHeight="1" x14ac:dyDescent="0.3">
      <c r="A45" s="49" t="s">
        <v>588</v>
      </c>
      <c r="B45" s="32" t="s">
        <v>589</v>
      </c>
      <c r="C45" s="15"/>
      <c r="D45" s="15"/>
      <c r="E45" s="15"/>
      <c r="F45" s="15"/>
    </row>
    <row r="46" spans="1:6" ht="15" customHeight="1" x14ac:dyDescent="0.3">
      <c r="A46" s="49" t="s">
        <v>590</v>
      </c>
      <c r="B46" s="32" t="s">
        <v>591</v>
      </c>
      <c r="C46" s="15"/>
      <c r="D46" s="15"/>
      <c r="E46" s="15"/>
      <c r="F46" s="15"/>
    </row>
    <row r="47" spans="1:6" ht="15" customHeight="1" x14ac:dyDescent="0.3">
      <c r="A47" s="49" t="s">
        <v>592</v>
      </c>
      <c r="B47" s="32" t="s">
        <v>593</v>
      </c>
      <c r="C47" s="15"/>
      <c r="D47" s="15"/>
      <c r="E47" s="15"/>
      <c r="F47" s="15"/>
    </row>
    <row r="48" spans="1:6" ht="15" customHeight="1" x14ac:dyDescent="0.3">
      <c r="A48" s="49" t="s">
        <v>594</v>
      </c>
      <c r="B48" s="32" t="s">
        <v>595</v>
      </c>
      <c r="C48" s="15"/>
      <c r="D48" s="15"/>
      <c r="E48" s="15"/>
      <c r="F48" s="15"/>
    </row>
    <row r="49" spans="1:6" ht="15" customHeight="1" x14ac:dyDescent="0.3">
      <c r="A49" s="49" t="s">
        <v>596</v>
      </c>
      <c r="B49" s="32" t="s">
        <v>597</v>
      </c>
      <c r="C49" s="15"/>
      <c r="D49" s="15"/>
      <c r="E49" s="15"/>
      <c r="F49" s="15"/>
    </row>
    <row r="50" spans="1:6" ht="15" customHeight="1" x14ac:dyDescent="0.3">
      <c r="A50" s="49" t="s">
        <v>598</v>
      </c>
      <c r="B50" s="32" t="s">
        <v>599</v>
      </c>
      <c r="C50" s="15"/>
      <c r="D50" s="15"/>
      <c r="E50" s="15"/>
      <c r="F50" s="15"/>
    </row>
    <row r="51" spans="1:6" ht="15" customHeight="1" x14ac:dyDescent="0.3">
      <c r="A51" s="49" t="s">
        <v>600</v>
      </c>
      <c r="B51" s="32" t="s">
        <v>601</v>
      </c>
      <c r="C51" s="15"/>
      <c r="D51" s="15"/>
      <c r="E51" s="15"/>
      <c r="F51" s="15"/>
    </row>
    <row r="52" spans="1:6" ht="15" customHeight="1" x14ac:dyDescent="0.3">
      <c r="A52" s="15"/>
      <c r="B52" s="15"/>
      <c r="C52" s="15"/>
      <c r="D52" s="15"/>
      <c r="E52" s="15"/>
      <c r="F52" s="15"/>
    </row>
    <row r="53" spans="1:6" ht="15" customHeight="1" x14ac:dyDescent="0.3">
      <c r="A53" s="46" t="s">
        <v>602</v>
      </c>
      <c r="B53" s="15"/>
      <c r="C53" s="15"/>
      <c r="D53" s="15"/>
      <c r="E53" s="15"/>
      <c r="F53" s="15"/>
    </row>
    <row r="54" spans="1:6" ht="68.25" customHeight="1" x14ac:dyDescent="0.3">
      <c r="A54" s="30" t="s">
        <v>685</v>
      </c>
      <c r="B54" s="15"/>
      <c r="C54" s="15"/>
      <c r="D54" s="15"/>
      <c r="E54" s="15"/>
      <c r="F54" s="15"/>
    </row>
    <row r="55" spans="1:6" ht="57" customHeight="1" x14ac:dyDescent="0.3">
      <c r="A55" s="30" t="s">
        <v>686</v>
      </c>
      <c r="B55" s="15"/>
      <c r="C55" s="15"/>
      <c r="D55" s="15"/>
      <c r="E55" s="15"/>
      <c r="F55" s="15"/>
    </row>
    <row r="56" spans="1:6" ht="68.25" customHeight="1" x14ac:dyDescent="0.3">
      <c r="A56" s="30" t="s">
        <v>687</v>
      </c>
      <c r="B56" s="15"/>
      <c r="C56" s="15"/>
      <c r="D56" s="15"/>
      <c r="E56" s="15"/>
      <c r="F56" s="15"/>
    </row>
    <row r="57" spans="1:6" ht="57" customHeight="1" x14ac:dyDescent="0.3">
      <c r="A57" s="30" t="s">
        <v>688</v>
      </c>
      <c r="B57" s="15"/>
      <c r="C57" s="15"/>
      <c r="D57" s="15"/>
      <c r="E57" s="15"/>
      <c r="F57" s="15"/>
    </row>
    <row r="58" spans="1:6" ht="57" customHeight="1" x14ac:dyDescent="0.3">
      <c r="A58" s="30" t="s">
        <v>689</v>
      </c>
      <c r="B58" s="15"/>
      <c r="C58" s="15"/>
      <c r="D58" s="15"/>
      <c r="E58" s="15"/>
      <c r="F58" s="15"/>
    </row>
    <row r="59" spans="1:6" ht="15" customHeight="1" x14ac:dyDescent="0.3">
      <c r="A59" s="15"/>
      <c r="B59" s="15"/>
      <c r="C59" s="15"/>
      <c r="D59" s="15"/>
      <c r="E59" s="15"/>
      <c r="F59" s="15"/>
    </row>
    <row r="60" spans="1:6" ht="15" customHeight="1" x14ac:dyDescent="0.3">
      <c r="A60" s="46" t="s">
        <v>608</v>
      </c>
      <c r="B60" s="15"/>
      <c r="C60" s="15"/>
      <c r="D60" s="15"/>
      <c r="E60" s="15"/>
      <c r="F60" s="15"/>
    </row>
    <row r="61" spans="1:6" ht="90.75" customHeight="1" x14ac:dyDescent="0.3">
      <c r="A61" s="30" t="s">
        <v>609</v>
      </c>
      <c r="B61" s="15"/>
      <c r="C61" s="15"/>
      <c r="D61" s="15"/>
      <c r="E61" s="15"/>
      <c r="F61" s="15"/>
    </row>
    <row r="62" spans="1:6" ht="15" customHeight="1" x14ac:dyDescent="0.3">
      <c r="A62" s="15"/>
      <c r="B62" s="15"/>
      <c r="C62" s="15"/>
      <c r="D62" s="15"/>
      <c r="E62" s="15"/>
      <c r="F62" s="15"/>
    </row>
    <row r="63" spans="1:6" ht="15" customHeight="1" x14ac:dyDescent="0.3">
      <c r="A63" s="46" t="s">
        <v>610</v>
      </c>
      <c r="B63" s="15"/>
      <c r="C63" s="15"/>
      <c r="D63" s="15"/>
      <c r="E63" s="15"/>
      <c r="F63" s="15"/>
    </row>
    <row r="64" spans="1:6" ht="102" customHeight="1" x14ac:dyDescent="0.3">
      <c r="A64" s="30" t="s">
        <v>611</v>
      </c>
      <c r="B64" s="15"/>
      <c r="C64" s="15"/>
      <c r="D64" s="15"/>
      <c r="E64" s="15"/>
      <c r="F64" s="15"/>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L39"/>
  <sheetViews>
    <sheetView showGridLines="0" zoomScaleNormal="100" workbookViewId="0">
      <pane ySplit="4" topLeftCell="A5" activePane="bottomLeft" state="frozen"/>
      <selection pane="bottomLeft"/>
    </sheetView>
  </sheetViews>
  <sheetFormatPr defaultColWidth="8.6328125" defaultRowHeight="14.5" x14ac:dyDescent="0.35"/>
  <cols>
    <col min="1" max="1" width="7" style="14" customWidth="1"/>
    <col min="2" max="2" width="14" style="14" customWidth="1"/>
    <col min="3" max="3" width="22" style="14" customWidth="1"/>
    <col min="4" max="4" width="18" style="14" customWidth="1"/>
    <col min="5" max="5" width="20" style="14" customWidth="1"/>
    <col min="6" max="8" width="26" style="14" customWidth="1"/>
    <col min="9" max="9" width="24" style="14" customWidth="1"/>
    <col min="11" max="12" width="20" style="14" customWidth="1"/>
  </cols>
  <sheetData>
    <row r="1" spans="1:12" ht="17.25" customHeight="1" x14ac:dyDescent="0.35">
      <c r="A1" s="45" t="s">
        <v>690</v>
      </c>
      <c r="B1" s="15"/>
      <c r="C1" s="15"/>
      <c r="D1" s="15"/>
      <c r="E1" s="15"/>
      <c r="F1" s="15"/>
      <c r="G1" s="15"/>
      <c r="H1" s="15"/>
      <c r="I1" s="15"/>
      <c r="J1" s="15"/>
      <c r="K1" s="27" t="str">
        <f>HYPERLINK("#TRANGCHU!A1","⬅ Về Trang chủ")</f>
        <v>⬅ Về Trang chủ</v>
      </c>
      <c r="L1" s="27" t="str">
        <f>HYPERLINK("#HUONGDAN!A1","📖 Về Hướng dẫn")</f>
        <v>📖 Về Hướng dẫn</v>
      </c>
    </row>
    <row r="2" spans="1:12" ht="15" customHeight="1" x14ac:dyDescent="0.3">
      <c r="A2" s="28" t="s">
        <v>691</v>
      </c>
      <c r="B2" s="15"/>
      <c r="C2" s="15"/>
      <c r="D2" s="15"/>
      <c r="E2" s="15"/>
      <c r="F2" s="15"/>
      <c r="G2" s="15"/>
      <c r="H2" s="15"/>
      <c r="I2" s="15"/>
      <c r="J2" s="15"/>
      <c r="K2" s="15"/>
      <c r="L2" s="15"/>
    </row>
    <row r="3" spans="1:12" ht="15" customHeight="1" x14ac:dyDescent="0.3">
      <c r="A3" s="15"/>
      <c r="B3" s="15"/>
      <c r="C3" s="15"/>
      <c r="D3" s="15"/>
      <c r="E3" s="15"/>
      <c r="F3" s="15"/>
      <c r="G3" s="15"/>
      <c r="H3" s="15"/>
      <c r="I3" s="15"/>
      <c r="J3" s="15"/>
      <c r="K3" s="15"/>
      <c r="L3" s="15"/>
    </row>
    <row r="4" spans="1:12" ht="15" customHeight="1" x14ac:dyDescent="0.3">
      <c r="A4" s="47" t="s">
        <v>580</v>
      </c>
      <c r="B4" s="47" t="s">
        <v>692</v>
      </c>
      <c r="C4" s="47" t="s">
        <v>581</v>
      </c>
      <c r="D4" s="47" t="s">
        <v>693</v>
      </c>
      <c r="E4" s="47" t="s">
        <v>694</v>
      </c>
      <c r="F4" s="47" t="s">
        <v>695</v>
      </c>
      <c r="G4" s="47" t="s">
        <v>696</v>
      </c>
      <c r="H4" s="47" t="s">
        <v>697</v>
      </c>
      <c r="I4" s="47" t="s">
        <v>698</v>
      </c>
      <c r="J4" s="15"/>
      <c r="K4" s="15"/>
      <c r="L4" s="15"/>
    </row>
    <row r="5" spans="1:12" ht="68.25" customHeight="1" x14ac:dyDescent="0.3">
      <c r="A5" s="32">
        <v>1</v>
      </c>
      <c r="B5" s="54" t="s">
        <v>86</v>
      </c>
      <c r="C5" s="32" t="s">
        <v>583</v>
      </c>
      <c r="D5" s="32" t="s">
        <v>699</v>
      </c>
      <c r="E5" s="32" t="s">
        <v>700</v>
      </c>
      <c r="F5" s="32" t="s">
        <v>701</v>
      </c>
      <c r="G5" s="32" t="s">
        <v>702</v>
      </c>
      <c r="H5" s="32" t="s">
        <v>655</v>
      </c>
      <c r="I5" s="32" t="s">
        <v>154</v>
      </c>
      <c r="J5" s="15"/>
      <c r="K5" s="15"/>
      <c r="L5" s="15"/>
    </row>
    <row r="6" spans="1:12" ht="68.25" customHeight="1" x14ac:dyDescent="0.3">
      <c r="A6" s="32">
        <v>2</v>
      </c>
      <c r="B6" s="54" t="s">
        <v>86</v>
      </c>
      <c r="C6" s="32" t="s">
        <v>583</v>
      </c>
      <c r="D6" s="32" t="s">
        <v>703</v>
      </c>
      <c r="E6" s="32" t="s">
        <v>700</v>
      </c>
      <c r="F6" s="32" t="s">
        <v>701</v>
      </c>
      <c r="G6" s="32" t="s">
        <v>702</v>
      </c>
      <c r="H6" s="32" t="s">
        <v>655</v>
      </c>
      <c r="I6" s="32" t="s">
        <v>154</v>
      </c>
      <c r="J6" s="15"/>
      <c r="K6" s="15"/>
      <c r="L6" s="15"/>
    </row>
    <row r="7" spans="1:12" ht="54.75" customHeight="1" x14ac:dyDescent="0.3">
      <c r="A7" s="32">
        <v>3</v>
      </c>
      <c r="B7" s="54" t="s">
        <v>86</v>
      </c>
      <c r="C7" s="32" t="s">
        <v>583</v>
      </c>
      <c r="D7" s="32" t="s">
        <v>704</v>
      </c>
      <c r="E7" s="32" t="s">
        <v>705</v>
      </c>
      <c r="F7" s="32" t="s">
        <v>706</v>
      </c>
      <c r="G7" s="32" t="s">
        <v>707</v>
      </c>
      <c r="H7" s="32" t="s">
        <v>657</v>
      </c>
      <c r="I7" s="32" t="s">
        <v>170</v>
      </c>
      <c r="J7" s="15"/>
      <c r="K7" s="15"/>
      <c r="L7" s="15"/>
    </row>
    <row r="8" spans="1:12" ht="54.75" customHeight="1" x14ac:dyDescent="0.3">
      <c r="A8" s="32">
        <v>4</v>
      </c>
      <c r="B8" s="54" t="s">
        <v>86</v>
      </c>
      <c r="C8" s="32" t="s">
        <v>585</v>
      </c>
      <c r="D8" s="32" t="s">
        <v>708</v>
      </c>
      <c r="E8" s="32" t="s">
        <v>705</v>
      </c>
      <c r="F8" s="32" t="s">
        <v>709</v>
      </c>
      <c r="G8" s="32" t="s">
        <v>710</v>
      </c>
      <c r="H8" s="32" t="s">
        <v>659</v>
      </c>
      <c r="I8" s="32" t="s">
        <v>183</v>
      </c>
      <c r="J8" s="15"/>
      <c r="K8" s="15"/>
      <c r="L8" s="15"/>
    </row>
    <row r="9" spans="1:12" ht="54.75" customHeight="1" x14ac:dyDescent="0.3">
      <c r="A9" s="32">
        <v>5</v>
      </c>
      <c r="B9" s="54" t="s">
        <v>86</v>
      </c>
      <c r="C9" s="32" t="s">
        <v>585</v>
      </c>
      <c r="D9" s="32" t="s">
        <v>711</v>
      </c>
      <c r="E9" s="32" t="s">
        <v>712</v>
      </c>
      <c r="F9" s="32" t="s">
        <v>713</v>
      </c>
      <c r="G9" s="32" t="s">
        <v>714</v>
      </c>
      <c r="H9" s="32" t="s">
        <v>663</v>
      </c>
      <c r="I9" s="32" t="s">
        <v>209</v>
      </c>
      <c r="J9" s="15"/>
      <c r="K9" s="15"/>
      <c r="L9" s="15"/>
    </row>
    <row r="10" spans="1:12" ht="41.25" customHeight="1" x14ac:dyDescent="0.3">
      <c r="A10" s="32">
        <v>6</v>
      </c>
      <c r="B10" s="54" t="s">
        <v>86</v>
      </c>
      <c r="C10" s="32" t="s">
        <v>585</v>
      </c>
      <c r="D10" s="32" t="s">
        <v>715</v>
      </c>
      <c r="E10" s="32" t="s">
        <v>716</v>
      </c>
      <c r="F10" s="32" t="s">
        <v>717</v>
      </c>
      <c r="G10" s="32" t="s">
        <v>718</v>
      </c>
      <c r="H10" s="32" t="s">
        <v>662</v>
      </c>
      <c r="I10" s="32" t="s">
        <v>202</v>
      </c>
      <c r="J10" s="15"/>
      <c r="K10" s="15"/>
      <c r="L10" s="15"/>
    </row>
    <row r="11" spans="1:12" ht="54.75" customHeight="1" x14ac:dyDescent="0.3">
      <c r="A11" s="32">
        <v>7</v>
      </c>
      <c r="B11" s="54" t="s">
        <v>86</v>
      </c>
      <c r="C11" s="32" t="s">
        <v>719</v>
      </c>
      <c r="D11" s="32" t="s">
        <v>720</v>
      </c>
      <c r="E11" s="32" t="s">
        <v>705</v>
      </c>
      <c r="F11" s="32" t="s">
        <v>706</v>
      </c>
      <c r="G11" s="32" t="s">
        <v>707</v>
      </c>
      <c r="H11" s="32" t="s">
        <v>657</v>
      </c>
      <c r="I11" s="32" t="s">
        <v>170</v>
      </c>
      <c r="J11" s="15"/>
      <c r="K11" s="15"/>
      <c r="L11" s="15"/>
    </row>
    <row r="12" spans="1:12" ht="68.25" customHeight="1" x14ac:dyDescent="0.3">
      <c r="A12" s="32">
        <v>8</v>
      </c>
      <c r="B12" s="54" t="s">
        <v>86</v>
      </c>
      <c r="C12" s="32" t="s">
        <v>719</v>
      </c>
      <c r="D12" s="32" t="s">
        <v>721</v>
      </c>
      <c r="E12" s="32" t="s">
        <v>196</v>
      </c>
      <c r="F12" s="32" t="s">
        <v>722</v>
      </c>
      <c r="G12" s="32" t="s">
        <v>723</v>
      </c>
      <c r="H12" s="32" t="s">
        <v>676</v>
      </c>
      <c r="I12" s="32" t="s">
        <v>293</v>
      </c>
      <c r="J12" s="15"/>
      <c r="K12" s="15"/>
      <c r="L12" s="15"/>
    </row>
    <row r="13" spans="1:12" ht="54.75" customHeight="1" x14ac:dyDescent="0.3">
      <c r="A13" s="32">
        <v>9</v>
      </c>
      <c r="B13" s="54" t="s">
        <v>86</v>
      </c>
      <c r="C13" s="32" t="s">
        <v>719</v>
      </c>
      <c r="D13" s="32" t="s">
        <v>724</v>
      </c>
      <c r="E13" s="32" t="s">
        <v>155</v>
      </c>
      <c r="F13" s="32" t="s">
        <v>709</v>
      </c>
      <c r="G13" s="32" t="s">
        <v>710</v>
      </c>
      <c r="H13" s="32" t="s">
        <v>659</v>
      </c>
      <c r="I13" s="32" t="s">
        <v>183</v>
      </c>
      <c r="J13" s="15"/>
      <c r="K13" s="15"/>
      <c r="L13" s="15"/>
    </row>
    <row r="14" spans="1:12" ht="54.75" customHeight="1" x14ac:dyDescent="0.3">
      <c r="A14" s="32">
        <v>10</v>
      </c>
      <c r="B14" s="54" t="s">
        <v>86</v>
      </c>
      <c r="C14" s="32" t="s">
        <v>719</v>
      </c>
      <c r="D14" s="32" t="s">
        <v>725</v>
      </c>
      <c r="E14" s="32" t="s">
        <v>216</v>
      </c>
      <c r="F14" s="32" t="s">
        <v>726</v>
      </c>
      <c r="G14" s="32" t="s">
        <v>727</v>
      </c>
      <c r="H14" s="32" t="s">
        <v>664</v>
      </c>
      <c r="I14" s="32" t="s">
        <v>215</v>
      </c>
      <c r="J14" s="15"/>
      <c r="K14" s="15"/>
      <c r="L14" s="15"/>
    </row>
    <row r="15" spans="1:12" ht="54.75" customHeight="1" x14ac:dyDescent="0.3">
      <c r="A15" s="32">
        <v>11</v>
      </c>
      <c r="B15" s="54" t="s">
        <v>86</v>
      </c>
      <c r="C15" s="32" t="s">
        <v>589</v>
      </c>
      <c r="D15" s="32" t="s">
        <v>728</v>
      </c>
      <c r="E15" s="32" t="s">
        <v>216</v>
      </c>
      <c r="F15" s="32" t="s">
        <v>726</v>
      </c>
      <c r="G15" s="32" t="s">
        <v>727</v>
      </c>
      <c r="H15" s="32" t="s">
        <v>664</v>
      </c>
      <c r="I15" s="32" t="s">
        <v>215</v>
      </c>
      <c r="J15" s="15"/>
      <c r="K15" s="15"/>
      <c r="L15" s="15"/>
    </row>
    <row r="16" spans="1:12" ht="54.75" customHeight="1" x14ac:dyDescent="0.3">
      <c r="A16" s="32">
        <v>12</v>
      </c>
      <c r="B16" s="54" t="s">
        <v>86</v>
      </c>
      <c r="C16" s="32" t="s">
        <v>589</v>
      </c>
      <c r="D16" s="32" t="s">
        <v>729</v>
      </c>
      <c r="E16" s="32" t="s">
        <v>216</v>
      </c>
      <c r="F16" s="32" t="s">
        <v>726</v>
      </c>
      <c r="G16" s="32" t="s">
        <v>727</v>
      </c>
      <c r="H16" s="32" t="s">
        <v>664</v>
      </c>
      <c r="I16" s="32" t="s">
        <v>215</v>
      </c>
      <c r="J16" s="15"/>
      <c r="K16" s="15"/>
      <c r="L16" s="15"/>
    </row>
    <row r="17" spans="1:12" ht="68.25" customHeight="1" x14ac:dyDescent="0.3">
      <c r="A17" s="32">
        <v>13</v>
      </c>
      <c r="B17" s="55" t="s">
        <v>90</v>
      </c>
      <c r="C17" s="32" t="s">
        <v>589</v>
      </c>
      <c r="D17" s="32" t="s">
        <v>730</v>
      </c>
      <c r="E17" s="32" t="s">
        <v>250</v>
      </c>
      <c r="F17" s="32" t="s">
        <v>731</v>
      </c>
      <c r="G17" s="32" t="s">
        <v>732</v>
      </c>
      <c r="H17" s="32" t="s">
        <v>675</v>
      </c>
      <c r="I17" s="32" t="s">
        <v>287</v>
      </c>
      <c r="J17" s="15"/>
      <c r="K17" s="15"/>
      <c r="L17" s="15"/>
    </row>
    <row r="18" spans="1:12" ht="68.25" customHeight="1" x14ac:dyDescent="0.3">
      <c r="A18" s="32">
        <v>14</v>
      </c>
      <c r="B18" s="55" t="s">
        <v>90</v>
      </c>
      <c r="C18" s="32" t="s">
        <v>589</v>
      </c>
      <c r="D18" s="32" t="s">
        <v>733</v>
      </c>
      <c r="E18" s="32" t="s">
        <v>734</v>
      </c>
      <c r="F18" s="32" t="s">
        <v>731</v>
      </c>
      <c r="G18" s="32" t="s">
        <v>732</v>
      </c>
      <c r="H18" s="32" t="s">
        <v>675</v>
      </c>
      <c r="I18" s="32" t="s">
        <v>287</v>
      </c>
      <c r="J18" s="15"/>
      <c r="K18" s="15"/>
      <c r="L18" s="15"/>
    </row>
    <row r="19" spans="1:12" ht="68.25" customHeight="1" x14ac:dyDescent="0.3">
      <c r="A19" s="32">
        <v>15</v>
      </c>
      <c r="B19" s="55" t="s">
        <v>90</v>
      </c>
      <c r="C19" s="32" t="s">
        <v>591</v>
      </c>
      <c r="D19" s="32" t="s">
        <v>735</v>
      </c>
      <c r="E19" s="32" t="s">
        <v>196</v>
      </c>
      <c r="F19" s="32" t="s">
        <v>722</v>
      </c>
      <c r="G19" s="32" t="s">
        <v>723</v>
      </c>
      <c r="H19" s="32" t="s">
        <v>676</v>
      </c>
      <c r="I19" s="32" t="s">
        <v>293</v>
      </c>
      <c r="J19" s="15"/>
      <c r="K19" s="15"/>
      <c r="L19" s="15"/>
    </row>
    <row r="20" spans="1:12" ht="68.25" customHeight="1" x14ac:dyDescent="0.3">
      <c r="A20" s="32">
        <v>16</v>
      </c>
      <c r="B20" s="55" t="s">
        <v>90</v>
      </c>
      <c r="C20" s="32" t="s">
        <v>591</v>
      </c>
      <c r="D20" s="32" t="s">
        <v>736</v>
      </c>
      <c r="E20" s="32" t="s">
        <v>250</v>
      </c>
      <c r="F20" s="32" t="s">
        <v>731</v>
      </c>
      <c r="G20" s="32" t="s">
        <v>732</v>
      </c>
      <c r="H20" s="32" t="s">
        <v>675</v>
      </c>
      <c r="I20" s="32" t="s">
        <v>287</v>
      </c>
      <c r="J20" s="15"/>
      <c r="K20" s="15"/>
      <c r="L20" s="15"/>
    </row>
    <row r="21" spans="1:12" ht="68.25" customHeight="1" x14ac:dyDescent="0.3">
      <c r="A21" s="32">
        <v>17</v>
      </c>
      <c r="B21" s="55" t="s">
        <v>90</v>
      </c>
      <c r="C21" s="32" t="s">
        <v>591</v>
      </c>
      <c r="D21" s="32" t="s">
        <v>737</v>
      </c>
      <c r="E21" s="32" t="s">
        <v>738</v>
      </c>
      <c r="F21" s="32" t="s">
        <v>739</v>
      </c>
      <c r="G21" s="32" t="s">
        <v>740</v>
      </c>
      <c r="H21" s="32" t="s">
        <v>669</v>
      </c>
      <c r="I21" s="32" t="s">
        <v>249</v>
      </c>
      <c r="J21" s="15"/>
      <c r="K21" s="15"/>
      <c r="L21" s="15"/>
    </row>
    <row r="22" spans="1:12" ht="68.25" customHeight="1" x14ac:dyDescent="0.3">
      <c r="A22" s="32">
        <v>18</v>
      </c>
      <c r="B22" s="55" t="s">
        <v>90</v>
      </c>
      <c r="C22" s="32" t="s">
        <v>591</v>
      </c>
      <c r="D22" s="32" t="s">
        <v>741</v>
      </c>
      <c r="E22" s="32" t="s">
        <v>250</v>
      </c>
      <c r="F22" s="32" t="s">
        <v>731</v>
      </c>
      <c r="G22" s="32" t="s">
        <v>732</v>
      </c>
      <c r="H22" s="32" t="s">
        <v>675</v>
      </c>
      <c r="I22" s="32" t="s">
        <v>287</v>
      </c>
      <c r="J22" s="15"/>
      <c r="K22" s="15"/>
      <c r="L22" s="15"/>
    </row>
    <row r="23" spans="1:12" ht="68.25" customHeight="1" x14ac:dyDescent="0.3">
      <c r="A23" s="32">
        <v>19</v>
      </c>
      <c r="B23" s="55" t="s">
        <v>90</v>
      </c>
      <c r="C23" s="32" t="s">
        <v>591</v>
      </c>
      <c r="D23" s="32" t="s">
        <v>742</v>
      </c>
      <c r="E23" s="32" t="s">
        <v>734</v>
      </c>
      <c r="F23" s="32" t="s">
        <v>722</v>
      </c>
      <c r="G23" s="32" t="s">
        <v>723</v>
      </c>
      <c r="H23" s="32" t="s">
        <v>676</v>
      </c>
      <c r="I23" s="32" t="s">
        <v>293</v>
      </c>
      <c r="J23" s="15"/>
      <c r="K23" s="15"/>
      <c r="L23" s="15"/>
    </row>
    <row r="24" spans="1:12" ht="81.75" customHeight="1" x14ac:dyDescent="0.3">
      <c r="A24" s="32">
        <v>20</v>
      </c>
      <c r="B24" s="55" t="s">
        <v>90</v>
      </c>
      <c r="C24" s="32" t="s">
        <v>593</v>
      </c>
      <c r="D24" s="32" t="s">
        <v>743</v>
      </c>
      <c r="E24" s="32" t="s">
        <v>196</v>
      </c>
      <c r="F24" s="32" t="s">
        <v>744</v>
      </c>
      <c r="G24" s="32" t="s">
        <v>745</v>
      </c>
      <c r="H24" s="32" t="s">
        <v>746</v>
      </c>
      <c r="I24" s="32" t="s">
        <v>299</v>
      </c>
      <c r="J24" s="15"/>
      <c r="K24" s="15"/>
      <c r="L24" s="15"/>
    </row>
    <row r="25" spans="1:12" ht="54.75" customHeight="1" x14ac:dyDescent="0.3">
      <c r="A25" s="32">
        <v>21</v>
      </c>
      <c r="B25" s="55" t="s">
        <v>90</v>
      </c>
      <c r="C25" s="32" t="s">
        <v>593</v>
      </c>
      <c r="D25" s="32" t="s">
        <v>747</v>
      </c>
      <c r="E25" s="32" t="s">
        <v>748</v>
      </c>
      <c r="F25" s="32" t="s">
        <v>709</v>
      </c>
      <c r="G25" s="32" t="s">
        <v>710</v>
      </c>
      <c r="H25" s="32" t="s">
        <v>659</v>
      </c>
      <c r="I25" s="32" t="s">
        <v>183</v>
      </c>
      <c r="J25" s="15"/>
      <c r="K25" s="15"/>
      <c r="L25" s="15"/>
    </row>
    <row r="26" spans="1:12" ht="54.75" customHeight="1" x14ac:dyDescent="0.3">
      <c r="A26" s="32">
        <v>22</v>
      </c>
      <c r="B26" s="55" t="s">
        <v>90</v>
      </c>
      <c r="C26" s="32" t="s">
        <v>593</v>
      </c>
      <c r="D26" s="32" t="s">
        <v>749</v>
      </c>
      <c r="E26" s="32" t="s">
        <v>216</v>
      </c>
      <c r="F26" s="32" t="s">
        <v>726</v>
      </c>
      <c r="G26" s="32" t="s">
        <v>727</v>
      </c>
      <c r="H26" s="32" t="s">
        <v>664</v>
      </c>
      <c r="I26" s="32" t="s">
        <v>215</v>
      </c>
      <c r="J26" s="15"/>
      <c r="K26" s="15"/>
      <c r="L26" s="15"/>
    </row>
    <row r="27" spans="1:12" ht="68.25" customHeight="1" x14ac:dyDescent="0.3">
      <c r="A27" s="32">
        <v>23</v>
      </c>
      <c r="B27" s="55" t="s">
        <v>90</v>
      </c>
      <c r="C27" s="32" t="s">
        <v>593</v>
      </c>
      <c r="D27" s="32" t="s">
        <v>750</v>
      </c>
      <c r="E27" s="32" t="s">
        <v>196</v>
      </c>
      <c r="F27" s="32" t="s">
        <v>722</v>
      </c>
      <c r="G27" s="32" t="s">
        <v>723</v>
      </c>
      <c r="H27" s="32" t="s">
        <v>676</v>
      </c>
      <c r="I27" s="32" t="s">
        <v>293</v>
      </c>
      <c r="J27" s="15"/>
      <c r="K27" s="15"/>
      <c r="L27" s="15"/>
    </row>
    <row r="28" spans="1:12" ht="54.75" customHeight="1" x14ac:dyDescent="0.3">
      <c r="A28" s="32">
        <v>24</v>
      </c>
      <c r="B28" s="55" t="s">
        <v>90</v>
      </c>
      <c r="C28" s="32" t="s">
        <v>595</v>
      </c>
      <c r="D28" s="32" t="s">
        <v>751</v>
      </c>
      <c r="E28" s="32" t="s">
        <v>752</v>
      </c>
      <c r="F28" s="32" t="s">
        <v>753</v>
      </c>
      <c r="G28" s="32" t="s">
        <v>754</v>
      </c>
      <c r="H28" s="32" t="s">
        <v>661</v>
      </c>
      <c r="I28" s="32" t="s">
        <v>195</v>
      </c>
      <c r="J28" s="15"/>
      <c r="K28" s="15"/>
      <c r="L28" s="15"/>
    </row>
    <row r="29" spans="1:12" ht="68.25" customHeight="1" x14ac:dyDescent="0.3">
      <c r="A29" s="32">
        <v>25</v>
      </c>
      <c r="B29" s="56" t="s">
        <v>755</v>
      </c>
      <c r="C29" s="32" t="s">
        <v>595</v>
      </c>
      <c r="D29" s="32" t="s">
        <v>756</v>
      </c>
      <c r="E29" s="32" t="s">
        <v>196</v>
      </c>
      <c r="F29" s="32" t="s">
        <v>731</v>
      </c>
      <c r="G29" s="32" t="s">
        <v>732</v>
      </c>
      <c r="H29" s="32" t="s">
        <v>675</v>
      </c>
      <c r="I29" s="32" t="s">
        <v>287</v>
      </c>
      <c r="J29" s="15"/>
      <c r="K29" s="15"/>
      <c r="L29" s="15"/>
    </row>
    <row r="30" spans="1:12" ht="68.25" customHeight="1" x14ac:dyDescent="0.3">
      <c r="A30" s="32">
        <v>26</v>
      </c>
      <c r="B30" s="56" t="s">
        <v>755</v>
      </c>
      <c r="C30" s="32" t="s">
        <v>597</v>
      </c>
      <c r="D30" s="32" t="s">
        <v>757</v>
      </c>
      <c r="E30" s="32" t="s">
        <v>738</v>
      </c>
      <c r="F30" s="32" t="s">
        <v>722</v>
      </c>
      <c r="G30" s="32" t="s">
        <v>723</v>
      </c>
      <c r="H30" s="32" t="s">
        <v>676</v>
      </c>
      <c r="I30" s="32" t="s">
        <v>293</v>
      </c>
      <c r="J30" s="15"/>
      <c r="K30" s="15"/>
      <c r="L30" s="15"/>
    </row>
    <row r="31" spans="1:12" ht="81.75" customHeight="1" x14ac:dyDescent="0.3">
      <c r="A31" s="32">
        <v>27</v>
      </c>
      <c r="B31" s="56" t="s">
        <v>755</v>
      </c>
      <c r="C31" s="32" t="s">
        <v>597</v>
      </c>
      <c r="D31" s="32" t="s">
        <v>758</v>
      </c>
      <c r="E31" s="32" t="s">
        <v>759</v>
      </c>
      <c r="F31" s="32" t="s">
        <v>744</v>
      </c>
      <c r="G31" s="32" t="s">
        <v>745</v>
      </c>
      <c r="H31" s="32" t="s">
        <v>746</v>
      </c>
      <c r="I31" s="32" t="s">
        <v>299</v>
      </c>
      <c r="J31" s="15"/>
      <c r="K31" s="15"/>
      <c r="L31" s="15"/>
    </row>
    <row r="32" spans="1:12" ht="54.75" customHeight="1" x14ac:dyDescent="0.3">
      <c r="A32" s="32">
        <v>28</v>
      </c>
      <c r="B32" s="56" t="s">
        <v>755</v>
      </c>
      <c r="C32" s="32" t="s">
        <v>597</v>
      </c>
      <c r="D32" s="32" t="s">
        <v>760</v>
      </c>
      <c r="E32" s="32" t="s">
        <v>761</v>
      </c>
      <c r="F32" s="32" t="s">
        <v>726</v>
      </c>
      <c r="G32" s="32" t="s">
        <v>727</v>
      </c>
      <c r="H32" s="32" t="s">
        <v>664</v>
      </c>
      <c r="I32" s="32" t="s">
        <v>215</v>
      </c>
      <c r="J32" s="15"/>
      <c r="K32" s="15"/>
      <c r="L32" s="15"/>
    </row>
    <row r="33" spans="1:12" ht="54.75" customHeight="1" x14ac:dyDescent="0.3">
      <c r="A33" s="32">
        <v>29</v>
      </c>
      <c r="B33" s="56" t="s">
        <v>755</v>
      </c>
      <c r="C33" s="32" t="s">
        <v>597</v>
      </c>
      <c r="D33" s="32" t="s">
        <v>762</v>
      </c>
      <c r="E33" s="32" t="s">
        <v>216</v>
      </c>
      <c r="F33" s="32" t="s">
        <v>726</v>
      </c>
      <c r="G33" s="32" t="s">
        <v>727</v>
      </c>
      <c r="H33" s="32" t="s">
        <v>664</v>
      </c>
      <c r="I33" s="32" t="s">
        <v>215</v>
      </c>
      <c r="J33" s="15"/>
      <c r="K33" s="15"/>
      <c r="L33" s="15"/>
    </row>
    <row r="34" spans="1:12" ht="54.75" customHeight="1" x14ac:dyDescent="0.3">
      <c r="A34" s="32">
        <v>30</v>
      </c>
      <c r="B34" s="56" t="s">
        <v>755</v>
      </c>
      <c r="C34" s="32" t="s">
        <v>599</v>
      </c>
      <c r="D34" s="32" t="s">
        <v>763</v>
      </c>
      <c r="E34" s="32" t="s">
        <v>216</v>
      </c>
      <c r="F34" s="32" t="s">
        <v>726</v>
      </c>
      <c r="G34" s="32" t="s">
        <v>727</v>
      </c>
      <c r="H34" s="32" t="s">
        <v>664</v>
      </c>
      <c r="I34" s="32" t="s">
        <v>215</v>
      </c>
      <c r="J34" s="15"/>
      <c r="K34" s="15"/>
      <c r="L34" s="15"/>
    </row>
    <row r="35" spans="1:12" ht="54.75" customHeight="1" x14ac:dyDescent="0.3">
      <c r="A35" s="32">
        <v>31</v>
      </c>
      <c r="B35" s="56" t="s">
        <v>755</v>
      </c>
      <c r="C35" s="32" t="s">
        <v>599</v>
      </c>
      <c r="D35" s="32" t="s">
        <v>764</v>
      </c>
      <c r="E35" s="32" t="s">
        <v>761</v>
      </c>
      <c r="F35" s="32" t="s">
        <v>726</v>
      </c>
      <c r="G35" s="32" t="s">
        <v>727</v>
      </c>
      <c r="H35" s="32" t="s">
        <v>664</v>
      </c>
      <c r="I35" s="32" t="s">
        <v>215</v>
      </c>
      <c r="J35" s="15"/>
      <c r="K35" s="15"/>
      <c r="L35" s="15"/>
    </row>
    <row r="36" spans="1:12" ht="54.75" customHeight="1" x14ac:dyDescent="0.3">
      <c r="A36" s="32">
        <v>32</v>
      </c>
      <c r="B36" s="56" t="s">
        <v>755</v>
      </c>
      <c r="C36" s="32" t="s">
        <v>599</v>
      </c>
      <c r="D36" s="32" t="s">
        <v>765</v>
      </c>
      <c r="E36" s="32" t="s">
        <v>216</v>
      </c>
      <c r="F36" s="32" t="s">
        <v>726</v>
      </c>
      <c r="G36" s="32" t="s">
        <v>727</v>
      </c>
      <c r="H36" s="32" t="s">
        <v>664</v>
      </c>
      <c r="I36" s="32" t="s">
        <v>215</v>
      </c>
      <c r="J36" s="15"/>
      <c r="K36" s="15"/>
      <c r="L36" s="15"/>
    </row>
    <row r="37" spans="1:12" ht="54.75" customHeight="1" x14ac:dyDescent="0.3">
      <c r="A37" s="32">
        <v>33</v>
      </c>
      <c r="B37" s="56" t="s">
        <v>755</v>
      </c>
      <c r="C37" s="32" t="s">
        <v>599</v>
      </c>
      <c r="D37" s="32" t="s">
        <v>766</v>
      </c>
      <c r="E37" s="32" t="s">
        <v>231</v>
      </c>
      <c r="F37" s="32" t="s">
        <v>767</v>
      </c>
      <c r="G37" s="32" t="s">
        <v>768</v>
      </c>
      <c r="H37" s="32" t="s">
        <v>666</v>
      </c>
      <c r="I37" s="32" t="s">
        <v>230</v>
      </c>
      <c r="J37" s="15"/>
      <c r="K37" s="15"/>
      <c r="L37" s="15"/>
    </row>
    <row r="38" spans="1:12" ht="41.25" customHeight="1" x14ac:dyDescent="0.3">
      <c r="A38" s="32">
        <v>34</v>
      </c>
      <c r="B38" s="56" t="s">
        <v>755</v>
      </c>
      <c r="C38" s="32" t="s">
        <v>601</v>
      </c>
      <c r="D38" s="32" t="s">
        <v>769</v>
      </c>
      <c r="E38" s="32" t="s">
        <v>164</v>
      </c>
      <c r="F38" s="32" t="s">
        <v>164</v>
      </c>
      <c r="G38" s="32" t="s">
        <v>164</v>
      </c>
      <c r="H38" s="32" t="s">
        <v>164</v>
      </c>
      <c r="I38" s="32" t="s">
        <v>164</v>
      </c>
      <c r="J38" s="15"/>
      <c r="K38" s="15"/>
      <c r="L38" s="15"/>
    </row>
    <row r="39" spans="1:12" ht="41.25" customHeight="1" x14ac:dyDescent="0.3">
      <c r="A39" s="32">
        <v>35</v>
      </c>
      <c r="B39" s="56" t="s">
        <v>755</v>
      </c>
      <c r="C39" s="32" t="s">
        <v>601</v>
      </c>
      <c r="D39" s="32" t="s">
        <v>770</v>
      </c>
      <c r="E39" s="32" t="s">
        <v>164</v>
      </c>
      <c r="F39" s="32" t="s">
        <v>164</v>
      </c>
      <c r="G39" s="32" t="s">
        <v>164</v>
      </c>
      <c r="H39" s="32" t="s">
        <v>164</v>
      </c>
      <c r="I39" s="32" t="s">
        <v>164</v>
      </c>
      <c r="J39" s="15"/>
      <c r="K39" s="15"/>
      <c r="L39" s="15"/>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sheetPr>
  <dimension ref="A1:S34"/>
  <sheetViews>
    <sheetView showGridLines="0" zoomScaleNormal="100" workbookViewId="0">
      <pane xSplit="2" ySplit="4" topLeftCell="E5" activePane="bottomRight" state="frozen"/>
      <selection pane="topRight" activeCell="C1" sqref="C1"/>
      <selection pane="bottomLeft" activeCell="A5" sqref="A5"/>
      <selection pane="bottomRight" activeCell="H6" sqref="H6"/>
    </sheetView>
  </sheetViews>
  <sheetFormatPr defaultColWidth="8.6328125" defaultRowHeight="14.5" x14ac:dyDescent="0.35"/>
  <cols>
    <col min="1" max="1" width="10" style="14" customWidth="1"/>
    <col min="2" max="2" width="14" style="14" customWidth="1"/>
    <col min="3" max="3" width="20" style="14" customWidth="1"/>
    <col min="4" max="4" width="10" style="14" customWidth="1"/>
    <col min="5" max="5" width="22" style="14" customWidth="1"/>
    <col min="6" max="6" width="14" style="14" customWidth="1"/>
    <col min="7" max="7" width="16" style="14" customWidth="1"/>
    <col min="8" max="8" width="26" style="14" customWidth="1"/>
    <col min="9" max="9" width="22" style="14" customWidth="1"/>
    <col min="10" max="10" width="32" style="14" customWidth="1"/>
    <col min="11" max="13" width="22" style="14" customWidth="1"/>
    <col min="14" max="15" width="24" style="14" customWidth="1"/>
    <col min="17" max="18" width="20" style="14" customWidth="1"/>
  </cols>
  <sheetData>
    <row r="1" spans="1:19" ht="17.25" customHeight="1" x14ac:dyDescent="0.35">
      <c r="A1" s="57" t="s">
        <v>771</v>
      </c>
      <c r="B1" s="15"/>
      <c r="C1" s="15"/>
      <c r="D1" s="15"/>
      <c r="F1" s="15"/>
      <c r="G1" s="15"/>
      <c r="H1" s="15"/>
      <c r="I1" s="15"/>
      <c r="J1" s="15"/>
      <c r="K1" s="15"/>
      <c r="L1" s="15"/>
      <c r="M1" s="15"/>
      <c r="N1" s="15"/>
      <c r="O1" s="15"/>
      <c r="P1" s="15"/>
      <c r="Q1" s="15"/>
      <c r="R1" s="27" t="str">
        <f>HYPERLINK("#TRANGCHU!A1","⬅ Về Trang chủ")</f>
        <v>⬅ Về Trang chủ</v>
      </c>
      <c r="S1" s="27" t="str">
        <f>HYPERLINK("#HUONGDAN!A1","📖 Về Hướng dẫn")</f>
        <v>📖 Về Hướng dẫn</v>
      </c>
    </row>
    <row r="2" spans="1:19" ht="15" customHeight="1" x14ac:dyDescent="0.35">
      <c r="A2" s="28" t="s">
        <v>772</v>
      </c>
      <c r="B2" s="15"/>
      <c r="C2" s="15"/>
      <c r="D2" s="15"/>
      <c r="F2" s="15"/>
      <c r="G2" s="15"/>
      <c r="H2" s="15"/>
      <c r="I2" s="15"/>
      <c r="J2" s="15"/>
      <c r="K2" s="15"/>
      <c r="L2" s="15"/>
      <c r="M2" s="15"/>
      <c r="N2" s="15"/>
      <c r="O2" s="15"/>
      <c r="P2" s="15"/>
      <c r="Q2" s="15"/>
      <c r="R2" s="15"/>
      <c r="S2" s="15"/>
    </row>
    <row r="3" spans="1:19" ht="15" customHeight="1" x14ac:dyDescent="0.35">
      <c r="A3" s="15"/>
      <c r="B3" s="15"/>
      <c r="C3" s="15"/>
      <c r="D3" s="15"/>
      <c r="F3" s="15"/>
      <c r="G3" s="15"/>
      <c r="H3" s="15"/>
      <c r="I3" s="15"/>
      <c r="J3" s="15"/>
      <c r="K3" s="15"/>
      <c r="L3" s="15"/>
      <c r="M3" s="15"/>
      <c r="N3" s="15"/>
      <c r="O3" s="15"/>
      <c r="P3" s="15"/>
      <c r="Q3" s="15"/>
      <c r="R3" s="15"/>
      <c r="S3" s="15"/>
    </row>
    <row r="4" spans="1:19" ht="34.5" customHeight="1" x14ac:dyDescent="0.3">
      <c r="A4" s="58" t="s">
        <v>773</v>
      </c>
      <c r="B4" s="58" t="s">
        <v>774</v>
      </c>
      <c r="C4" s="58" t="s">
        <v>775</v>
      </c>
      <c r="D4" s="58" t="s">
        <v>776</v>
      </c>
      <c r="E4" s="58" t="s">
        <v>777</v>
      </c>
      <c r="F4" s="58" t="s">
        <v>778</v>
      </c>
      <c r="G4" s="58" t="s">
        <v>779</v>
      </c>
      <c r="H4" s="58" t="s">
        <v>780</v>
      </c>
      <c r="I4" s="58" t="s">
        <v>781</v>
      </c>
      <c r="J4" s="58" t="s">
        <v>782</v>
      </c>
      <c r="K4" s="58" t="s">
        <v>783</v>
      </c>
      <c r="L4" s="58" t="s">
        <v>784</v>
      </c>
      <c r="M4" s="58" t="s">
        <v>785</v>
      </c>
      <c r="N4" s="58" t="s">
        <v>786</v>
      </c>
      <c r="O4" s="58" t="s">
        <v>787</v>
      </c>
      <c r="P4" s="58" t="s">
        <v>788</v>
      </c>
      <c r="Q4" s="15"/>
      <c r="R4" s="15"/>
      <c r="S4" s="15"/>
    </row>
    <row r="5" spans="1:19" ht="81.75" customHeight="1" x14ac:dyDescent="0.3">
      <c r="A5" s="32" t="s">
        <v>789</v>
      </c>
      <c r="B5" s="39" t="s">
        <v>790</v>
      </c>
      <c r="C5" s="32" t="s">
        <v>791</v>
      </c>
      <c r="D5" s="32" t="s">
        <v>73</v>
      </c>
      <c r="E5" s="36" t="s">
        <v>792</v>
      </c>
      <c r="F5" s="32" t="s">
        <v>793</v>
      </c>
      <c r="G5" s="32" t="s">
        <v>224</v>
      </c>
      <c r="H5" s="32" t="s">
        <v>216</v>
      </c>
      <c r="I5" s="32" t="s">
        <v>794</v>
      </c>
      <c r="J5" s="32" t="s">
        <v>795</v>
      </c>
      <c r="K5" s="32" t="s">
        <v>796</v>
      </c>
      <c r="L5" s="32" t="s">
        <v>797</v>
      </c>
      <c r="M5" s="32" t="s">
        <v>798</v>
      </c>
      <c r="N5" s="32" t="s">
        <v>223</v>
      </c>
      <c r="O5" s="32" t="s">
        <v>799</v>
      </c>
      <c r="P5" s="32" t="s">
        <v>800</v>
      </c>
      <c r="Q5" s="15"/>
      <c r="R5" s="15"/>
      <c r="S5" s="15"/>
    </row>
    <row r="6" spans="1:19" ht="81.75" customHeight="1" x14ac:dyDescent="0.3">
      <c r="A6" s="32" t="s">
        <v>801</v>
      </c>
      <c r="B6" s="39" t="s">
        <v>790</v>
      </c>
      <c r="C6" s="32" t="s">
        <v>802</v>
      </c>
      <c r="D6" s="32" t="s">
        <v>71</v>
      </c>
      <c r="E6" s="36" t="s">
        <v>803</v>
      </c>
      <c r="F6" s="32" t="s">
        <v>804</v>
      </c>
      <c r="G6" s="32" t="s">
        <v>164</v>
      </c>
      <c r="H6" s="32" t="s">
        <v>171</v>
      </c>
      <c r="I6" s="32" t="s">
        <v>805</v>
      </c>
      <c r="J6" s="32" t="s">
        <v>795</v>
      </c>
      <c r="K6" s="32" t="s">
        <v>796</v>
      </c>
      <c r="L6" s="32" t="s">
        <v>797</v>
      </c>
      <c r="M6" s="32" t="s">
        <v>806</v>
      </c>
      <c r="N6" s="32" t="s">
        <v>170</v>
      </c>
      <c r="O6" s="32" t="s">
        <v>799</v>
      </c>
      <c r="P6" s="32" t="s">
        <v>800</v>
      </c>
      <c r="Q6" s="15"/>
      <c r="R6" s="15"/>
      <c r="S6" s="15"/>
    </row>
    <row r="7" spans="1:19" ht="81.75" customHeight="1" x14ac:dyDescent="0.3">
      <c r="A7" s="32" t="s">
        <v>807</v>
      </c>
      <c r="B7" s="39" t="s">
        <v>790</v>
      </c>
      <c r="C7" s="32" t="s">
        <v>808</v>
      </c>
      <c r="D7" s="32" t="s">
        <v>73</v>
      </c>
      <c r="E7" s="36" t="s">
        <v>792</v>
      </c>
      <c r="F7" s="32" t="s">
        <v>809</v>
      </c>
      <c r="G7" s="32" t="s">
        <v>217</v>
      </c>
      <c r="H7" s="32" t="s">
        <v>216</v>
      </c>
      <c r="I7" s="32" t="s">
        <v>810</v>
      </c>
      <c r="J7" s="32" t="s">
        <v>795</v>
      </c>
      <c r="K7" s="32" t="s">
        <v>796</v>
      </c>
      <c r="L7" s="32" t="s">
        <v>797</v>
      </c>
      <c r="M7" s="32" t="s">
        <v>811</v>
      </c>
      <c r="N7" s="32" t="s">
        <v>215</v>
      </c>
      <c r="O7" s="32" t="s">
        <v>799</v>
      </c>
      <c r="P7" s="32" t="s">
        <v>800</v>
      </c>
      <c r="Q7" s="15"/>
      <c r="R7" s="15"/>
      <c r="S7" s="15"/>
    </row>
    <row r="8" spans="1:19" ht="81.75" customHeight="1" x14ac:dyDescent="0.3">
      <c r="A8" s="32" t="s">
        <v>812</v>
      </c>
      <c r="B8" s="39" t="s">
        <v>790</v>
      </c>
      <c r="C8" s="32" t="s">
        <v>813</v>
      </c>
      <c r="D8" s="32" t="s">
        <v>71</v>
      </c>
      <c r="E8" s="36" t="s">
        <v>814</v>
      </c>
      <c r="F8" s="32" t="s">
        <v>815</v>
      </c>
      <c r="G8" s="32" t="s">
        <v>156</v>
      </c>
      <c r="H8" s="32" t="s">
        <v>171</v>
      </c>
      <c r="I8" s="32" t="s">
        <v>816</v>
      </c>
      <c r="J8" s="32" t="s">
        <v>795</v>
      </c>
      <c r="K8" s="32" t="s">
        <v>796</v>
      </c>
      <c r="L8" s="32" t="s">
        <v>797</v>
      </c>
      <c r="M8" s="32" t="s">
        <v>817</v>
      </c>
      <c r="N8" s="32" t="s">
        <v>183</v>
      </c>
      <c r="O8" s="32" t="s">
        <v>799</v>
      </c>
      <c r="P8" s="32" t="s">
        <v>800</v>
      </c>
      <c r="Q8" s="15"/>
      <c r="R8" s="15"/>
      <c r="S8" s="15"/>
    </row>
    <row r="9" spans="1:19" ht="81.75" customHeight="1" x14ac:dyDescent="0.3">
      <c r="A9" s="32" t="s">
        <v>818</v>
      </c>
      <c r="B9" s="39" t="s">
        <v>790</v>
      </c>
      <c r="C9" s="32" t="s">
        <v>819</v>
      </c>
      <c r="D9" s="32" t="s">
        <v>251</v>
      </c>
      <c r="E9" s="36" t="s">
        <v>820</v>
      </c>
      <c r="F9" s="32" t="s">
        <v>821</v>
      </c>
      <c r="G9" s="32" t="s">
        <v>164</v>
      </c>
      <c r="H9" s="32" t="s">
        <v>231</v>
      </c>
      <c r="I9" s="32" t="s">
        <v>822</v>
      </c>
      <c r="J9" s="32" t="s">
        <v>795</v>
      </c>
      <c r="K9" s="32" t="s">
        <v>796</v>
      </c>
      <c r="L9" s="32" t="s">
        <v>797</v>
      </c>
      <c r="M9" s="32" t="s">
        <v>823</v>
      </c>
      <c r="N9" s="32" t="s">
        <v>263</v>
      </c>
      <c r="O9" s="32" t="s">
        <v>799</v>
      </c>
      <c r="P9" s="32" t="s">
        <v>800</v>
      </c>
      <c r="Q9" s="15"/>
      <c r="R9" s="15"/>
      <c r="S9" s="15"/>
    </row>
    <row r="10" spans="1:19" ht="81.75" customHeight="1" x14ac:dyDescent="0.3">
      <c r="A10" s="32" t="s">
        <v>824</v>
      </c>
      <c r="B10" s="39" t="s">
        <v>790</v>
      </c>
      <c r="C10" s="32" t="s">
        <v>825</v>
      </c>
      <c r="D10" s="32" t="s">
        <v>77</v>
      </c>
      <c r="E10" s="36" t="s">
        <v>792</v>
      </c>
      <c r="F10" s="32" t="s">
        <v>826</v>
      </c>
      <c r="G10" s="32" t="s">
        <v>164</v>
      </c>
      <c r="H10" s="32" t="s">
        <v>250</v>
      </c>
      <c r="I10" s="32" t="s">
        <v>827</v>
      </c>
      <c r="J10" s="32" t="s">
        <v>795</v>
      </c>
      <c r="K10" s="32" t="s">
        <v>796</v>
      </c>
      <c r="L10" s="32" t="s">
        <v>797</v>
      </c>
      <c r="M10" s="32" t="s">
        <v>828</v>
      </c>
      <c r="N10" s="32" t="s">
        <v>293</v>
      </c>
      <c r="O10" s="32" t="s">
        <v>799</v>
      </c>
      <c r="P10" s="32" t="s">
        <v>800</v>
      </c>
      <c r="Q10" s="15"/>
      <c r="R10" s="15"/>
      <c r="S10" s="15"/>
    </row>
    <row r="11" spans="1:19" ht="81.75" customHeight="1" x14ac:dyDescent="0.3">
      <c r="A11" s="32" t="s">
        <v>829</v>
      </c>
      <c r="B11" s="39" t="s">
        <v>790</v>
      </c>
      <c r="C11" s="32" t="s">
        <v>830</v>
      </c>
      <c r="D11" s="32" t="s">
        <v>77</v>
      </c>
      <c r="E11" s="36" t="s">
        <v>831</v>
      </c>
      <c r="F11" s="32" t="s">
        <v>832</v>
      </c>
      <c r="G11" s="32" t="s">
        <v>164</v>
      </c>
      <c r="H11" s="32" t="s">
        <v>250</v>
      </c>
      <c r="I11" s="32" t="s">
        <v>833</v>
      </c>
      <c r="J11" s="32" t="s">
        <v>795</v>
      </c>
      <c r="K11" s="32" t="s">
        <v>796</v>
      </c>
      <c r="L11" s="32" t="s">
        <v>797</v>
      </c>
      <c r="M11" s="32" t="s">
        <v>834</v>
      </c>
      <c r="N11" s="32" t="s">
        <v>305</v>
      </c>
      <c r="O11" s="32" t="s">
        <v>799</v>
      </c>
      <c r="P11" s="32" t="s">
        <v>800</v>
      </c>
      <c r="Q11" s="15"/>
      <c r="R11" s="15"/>
      <c r="S11" s="15"/>
    </row>
    <row r="12" spans="1:19" ht="81.75" customHeight="1" x14ac:dyDescent="0.3">
      <c r="A12" s="32" t="s">
        <v>835</v>
      </c>
      <c r="B12" s="39" t="s">
        <v>790</v>
      </c>
      <c r="C12" s="32" t="s">
        <v>836</v>
      </c>
      <c r="D12" s="32" t="s">
        <v>73</v>
      </c>
      <c r="E12" s="36" t="s">
        <v>803</v>
      </c>
      <c r="F12" s="32" t="s">
        <v>837</v>
      </c>
      <c r="G12" s="32" t="s">
        <v>217</v>
      </c>
      <c r="H12" s="32" t="s">
        <v>163</v>
      </c>
      <c r="I12" s="32" t="s">
        <v>838</v>
      </c>
      <c r="J12" s="32" t="s">
        <v>795</v>
      </c>
      <c r="K12" s="32" t="s">
        <v>796</v>
      </c>
      <c r="L12" s="32" t="s">
        <v>797</v>
      </c>
      <c r="M12" s="32" t="s">
        <v>839</v>
      </c>
      <c r="N12" s="32" t="s">
        <v>243</v>
      </c>
      <c r="O12" s="32" t="s">
        <v>799</v>
      </c>
      <c r="P12" s="32" t="s">
        <v>800</v>
      </c>
      <c r="Q12" s="15"/>
      <c r="R12" s="15"/>
      <c r="S12" s="15"/>
    </row>
    <row r="13" spans="1:19" ht="81.75" customHeight="1" x14ac:dyDescent="0.3">
      <c r="A13" s="32" t="s">
        <v>840</v>
      </c>
      <c r="B13" s="39" t="s">
        <v>790</v>
      </c>
      <c r="C13" s="32" t="s">
        <v>841</v>
      </c>
      <c r="D13" s="32" t="s">
        <v>77</v>
      </c>
      <c r="E13" s="36" t="s">
        <v>842</v>
      </c>
      <c r="F13" s="32" t="s">
        <v>843</v>
      </c>
      <c r="G13" s="32" t="s">
        <v>164</v>
      </c>
      <c r="H13" s="32" t="s">
        <v>250</v>
      </c>
      <c r="I13" s="32" t="s">
        <v>844</v>
      </c>
      <c r="J13" s="32" t="s">
        <v>795</v>
      </c>
      <c r="K13" s="32" t="s">
        <v>796</v>
      </c>
      <c r="L13" s="32" t="s">
        <v>797</v>
      </c>
      <c r="M13" s="32" t="s">
        <v>845</v>
      </c>
      <c r="N13" s="32" t="s">
        <v>287</v>
      </c>
      <c r="O13" s="32" t="s">
        <v>799</v>
      </c>
      <c r="P13" s="32" t="s">
        <v>800</v>
      </c>
      <c r="Q13" s="15"/>
      <c r="R13" s="15"/>
      <c r="S13" s="15"/>
    </row>
    <row r="14" spans="1:19" ht="81.75" customHeight="1" x14ac:dyDescent="0.3">
      <c r="A14" s="32" t="s">
        <v>846</v>
      </c>
      <c r="B14" s="39" t="s">
        <v>790</v>
      </c>
      <c r="C14" s="32" t="s">
        <v>847</v>
      </c>
      <c r="D14" s="32" t="s">
        <v>312</v>
      </c>
      <c r="E14" s="36" t="s">
        <v>848</v>
      </c>
      <c r="F14" s="32" t="s">
        <v>849</v>
      </c>
      <c r="G14" s="32" t="s">
        <v>224</v>
      </c>
      <c r="H14" s="32" t="s">
        <v>164</v>
      </c>
      <c r="I14" s="32" t="s">
        <v>850</v>
      </c>
      <c r="J14" s="32" t="s">
        <v>795</v>
      </c>
      <c r="K14" s="32" t="s">
        <v>796</v>
      </c>
      <c r="L14" s="32" t="s">
        <v>797</v>
      </c>
      <c r="M14" s="32" t="s">
        <v>851</v>
      </c>
      <c r="N14" s="32" t="s">
        <v>318</v>
      </c>
      <c r="O14" s="32" t="s">
        <v>799</v>
      </c>
      <c r="P14" s="32" t="s">
        <v>800</v>
      </c>
      <c r="Q14" s="15"/>
      <c r="R14" s="15"/>
      <c r="S14" s="15"/>
    </row>
    <row r="15" spans="1:19" ht="81.75" customHeight="1" x14ac:dyDescent="0.3">
      <c r="A15" s="32" t="s">
        <v>852</v>
      </c>
      <c r="B15" s="42" t="s">
        <v>853</v>
      </c>
      <c r="C15" s="32" t="s">
        <v>791</v>
      </c>
      <c r="D15" s="32" t="s">
        <v>73</v>
      </c>
      <c r="E15" s="36" t="s">
        <v>792</v>
      </c>
      <c r="F15" s="32" t="s">
        <v>793</v>
      </c>
      <c r="G15" s="32" t="s">
        <v>224</v>
      </c>
      <c r="H15" s="32" t="s">
        <v>216</v>
      </c>
      <c r="I15" s="32" t="s">
        <v>854</v>
      </c>
      <c r="J15" s="32" t="s">
        <v>855</v>
      </c>
      <c r="K15" s="32" t="s">
        <v>856</v>
      </c>
      <c r="L15" s="32" t="s">
        <v>857</v>
      </c>
      <c r="M15" s="32" t="s">
        <v>858</v>
      </c>
      <c r="N15" s="32" t="s">
        <v>223</v>
      </c>
      <c r="O15" s="32" t="s">
        <v>859</v>
      </c>
      <c r="P15" s="32" t="s">
        <v>860</v>
      </c>
      <c r="Q15" s="15"/>
      <c r="R15" s="15"/>
      <c r="S15" s="15"/>
    </row>
    <row r="16" spans="1:19" ht="81.75" customHeight="1" x14ac:dyDescent="0.3">
      <c r="A16" s="32" t="s">
        <v>861</v>
      </c>
      <c r="B16" s="42" t="s">
        <v>853</v>
      </c>
      <c r="C16" s="32" t="s">
        <v>802</v>
      </c>
      <c r="D16" s="32" t="s">
        <v>71</v>
      </c>
      <c r="E16" s="36" t="s">
        <v>803</v>
      </c>
      <c r="F16" s="32" t="s">
        <v>804</v>
      </c>
      <c r="G16" s="32" t="s">
        <v>164</v>
      </c>
      <c r="H16" s="32" t="s">
        <v>171</v>
      </c>
      <c r="I16" s="32" t="s">
        <v>862</v>
      </c>
      <c r="J16" s="32" t="s">
        <v>855</v>
      </c>
      <c r="K16" s="32" t="s">
        <v>856</v>
      </c>
      <c r="L16" s="32" t="s">
        <v>857</v>
      </c>
      <c r="M16" s="32" t="s">
        <v>863</v>
      </c>
      <c r="N16" s="32" t="s">
        <v>170</v>
      </c>
      <c r="O16" s="32" t="s">
        <v>859</v>
      </c>
      <c r="P16" s="32" t="s">
        <v>860</v>
      </c>
      <c r="Q16" s="15"/>
      <c r="R16" s="15"/>
      <c r="S16" s="15"/>
    </row>
    <row r="17" spans="1:19" ht="81.75" customHeight="1" x14ac:dyDescent="0.3">
      <c r="A17" s="32" t="s">
        <v>864</v>
      </c>
      <c r="B17" s="42" t="s">
        <v>853</v>
      </c>
      <c r="C17" s="32" t="s">
        <v>808</v>
      </c>
      <c r="D17" s="32" t="s">
        <v>73</v>
      </c>
      <c r="E17" s="36" t="s">
        <v>792</v>
      </c>
      <c r="F17" s="32" t="s">
        <v>809</v>
      </c>
      <c r="G17" s="32" t="s">
        <v>217</v>
      </c>
      <c r="H17" s="32" t="s">
        <v>216</v>
      </c>
      <c r="I17" s="32" t="s">
        <v>865</v>
      </c>
      <c r="J17" s="32" t="s">
        <v>855</v>
      </c>
      <c r="K17" s="32" t="s">
        <v>856</v>
      </c>
      <c r="L17" s="32" t="s">
        <v>857</v>
      </c>
      <c r="M17" s="32" t="s">
        <v>866</v>
      </c>
      <c r="N17" s="32" t="s">
        <v>215</v>
      </c>
      <c r="O17" s="32" t="s">
        <v>859</v>
      </c>
      <c r="P17" s="32" t="s">
        <v>860</v>
      </c>
      <c r="Q17" s="15"/>
      <c r="R17" s="15"/>
      <c r="S17" s="15"/>
    </row>
    <row r="18" spans="1:19" ht="81.75" customHeight="1" x14ac:dyDescent="0.3">
      <c r="A18" s="32" t="s">
        <v>867</v>
      </c>
      <c r="B18" s="42" t="s">
        <v>853</v>
      </c>
      <c r="C18" s="32" t="s">
        <v>813</v>
      </c>
      <c r="D18" s="32" t="s">
        <v>71</v>
      </c>
      <c r="E18" s="36" t="s">
        <v>814</v>
      </c>
      <c r="F18" s="32" t="s">
        <v>815</v>
      </c>
      <c r="G18" s="32" t="s">
        <v>156</v>
      </c>
      <c r="H18" s="32" t="s">
        <v>171</v>
      </c>
      <c r="I18" s="32" t="s">
        <v>868</v>
      </c>
      <c r="J18" s="32" t="s">
        <v>855</v>
      </c>
      <c r="K18" s="32" t="s">
        <v>856</v>
      </c>
      <c r="L18" s="32" t="s">
        <v>857</v>
      </c>
      <c r="M18" s="32" t="s">
        <v>869</v>
      </c>
      <c r="N18" s="32" t="s">
        <v>183</v>
      </c>
      <c r="O18" s="32" t="s">
        <v>859</v>
      </c>
      <c r="P18" s="32" t="s">
        <v>860</v>
      </c>
      <c r="Q18" s="15"/>
      <c r="R18" s="15"/>
      <c r="S18" s="15"/>
    </row>
    <row r="19" spans="1:19" ht="81.75" customHeight="1" x14ac:dyDescent="0.3">
      <c r="A19" s="32" t="s">
        <v>870</v>
      </c>
      <c r="B19" s="42" t="s">
        <v>853</v>
      </c>
      <c r="C19" s="32" t="s">
        <v>819</v>
      </c>
      <c r="D19" s="32" t="s">
        <v>251</v>
      </c>
      <c r="E19" s="36" t="s">
        <v>820</v>
      </c>
      <c r="F19" s="32" t="s">
        <v>821</v>
      </c>
      <c r="G19" s="32" t="s">
        <v>164</v>
      </c>
      <c r="H19" s="32" t="s">
        <v>231</v>
      </c>
      <c r="I19" s="32" t="s">
        <v>871</v>
      </c>
      <c r="J19" s="32" t="s">
        <v>855</v>
      </c>
      <c r="K19" s="32" t="s">
        <v>856</v>
      </c>
      <c r="L19" s="32" t="s">
        <v>857</v>
      </c>
      <c r="M19" s="32" t="s">
        <v>872</v>
      </c>
      <c r="N19" s="32" t="s">
        <v>263</v>
      </c>
      <c r="O19" s="32" t="s">
        <v>859</v>
      </c>
      <c r="P19" s="32" t="s">
        <v>860</v>
      </c>
      <c r="Q19" s="15"/>
      <c r="R19" s="15"/>
      <c r="S19" s="15"/>
    </row>
    <row r="20" spans="1:19" ht="81.75" customHeight="1" x14ac:dyDescent="0.3">
      <c r="A20" s="32" t="s">
        <v>873</v>
      </c>
      <c r="B20" s="42" t="s">
        <v>853</v>
      </c>
      <c r="C20" s="32" t="s">
        <v>825</v>
      </c>
      <c r="D20" s="32" t="s">
        <v>77</v>
      </c>
      <c r="E20" s="36" t="s">
        <v>792</v>
      </c>
      <c r="F20" s="32" t="s">
        <v>826</v>
      </c>
      <c r="G20" s="32" t="s">
        <v>164</v>
      </c>
      <c r="H20" s="32" t="s">
        <v>250</v>
      </c>
      <c r="I20" s="32" t="s">
        <v>874</v>
      </c>
      <c r="J20" s="32" t="s">
        <v>855</v>
      </c>
      <c r="K20" s="32" t="s">
        <v>856</v>
      </c>
      <c r="L20" s="32" t="s">
        <v>857</v>
      </c>
      <c r="M20" s="32" t="s">
        <v>875</v>
      </c>
      <c r="N20" s="32" t="s">
        <v>293</v>
      </c>
      <c r="O20" s="32" t="s">
        <v>859</v>
      </c>
      <c r="P20" s="32" t="s">
        <v>860</v>
      </c>
      <c r="Q20" s="15"/>
      <c r="R20" s="15"/>
      <c r="S20" s="15"/>
    </row>
    <row r="21" spans="1:19" ht="81.75" customHeight="1" x14ac:dyDescent="0.3">
      <c r="A21" s="32" t="s">
        <v>876</v>
      </c>
      <c r="B21" s="42" t="s">
        <v>853</v>
      </c>
      <c r="C21" s="32" t="s">
        <v>830</v>
      </c>
      <c r="D21" s="32" t="s">
        <v>77</v>
      </c>
      <c r="E21" s="36" t="s">
        <v>831</v>
      </c>
      <c r="F21" s="32" t="s">
        <v>832</v>
      </c>
      <c r="G21" s="32" t="s">
        <v>164</v>
      </c>
      <c r="H21" s="32" t="s">
        <v>250</v>
      </c>
      <c r="I21" s="32" t="s">
        <v>877</v>
      </c>
      <c r="J21" s="32" t="s">
        <v>855</v>
      </c>
      <c r="K21" s="32" t="s">
        <v>856</v>
      </c>
      <c r="L21" s="32" t="s">
        <v>857</v>
      </c>
      <c r="M21" s="32" t="s">
        <v>878</v>
      </c>
      <c r="N21" s="32" t="s">
        <v>305</v>
      </c>
      <c r="O21" s="32" t="s">
        <v>859</v>
      </c>
      <c r="P21" s="32" t="s">
        <v>860</v>
      </c>
      <c r="Q21" s="15"/>
      <c r="R21" s="15"/>
      <c r="S21" s="15"/>
    </row>
    <row r="22" spans="1:19" ht="81.75" customHeight="1" x14ac:dyDescent="0.3">
      <c r="A22" s="32" t="s">
        <v>879</v>
      </c>
      <c r="B22" s="42" t="s">
        <v>853</v>
      </c>
      <c r="C22" s="32" t="s">
        <v>836</v>
      </c>
      <c r="D22" s="32" t="s">
        <v>73</v>
      </c>
      <c r="E22" s="36" t="s">
        <v>803</v>
      </c>
      <c r="F22" s="32" t="s">
        <v>837</v>
      </c>
      <c r="G22" s="32" t="s">
        <v>217</v>
      </c>
      <c r="H22" s="32" t="s">
        <v>163</v>
      </c>
      <c r="I22" s="32" t="s">
        <v>880</v>
      </c>
      <c r="J22" s="32" t="s">
        <v>855</v>
      </c>
      <c r="K22" s="32" t="s">
        <v>856</v>
      </c>
      <c r="L22" s="32" t="s">
        <v>857</v>
      </c>
      <c r="M22" s="32" t="s">
        <v>881</v>
      </c>
      <c r="N22" s="32" t="s">
        <v>243</v>
      </c>
      <c r="O22" s="32" t="s">
        <v>859</v>
      </c>
      <c r="P22" s="32" t="s">
        <v>860</v>
      </c>
      <c r="Q22" s="15"/>
      <c r="R22" s="15"/>
      <c r="S22" s="15"/>
    </row>
    <row r="23" spans="1:19" ht="81.75" customHeight="1" x14ac:dyDescent="0.3">
      <c r="A23" s="32" t="s">
        <v>882</v>
      </c>
      <c r="B23" s="42" t="s">
        <v>853</v>
      </c>
      <c r="C23" s="32" t="s">
        <v>841</v>
      </c>
      <c r="D23" s="32" t="s">
        <v>77</v>
      </c>
      <c r="E23" s="36" t="s">
        <v>842</v>
      </c>
      <c r="F23" s="32" t="s">
        <v>843</v>
      </c>
      <c r="G23" s="32" t="s">
        <v>164</v>
      </c>
      <c r="H23" s="32" t="s">
        <v>250</v>
      </c>
      <c r="I23" s="32" t="s">
        <v>883</v>
      </c>
      <c r="J23" s="32" t="s">
        <v>855</v>
      </c>
      <c r="K23" s="32" t="s">
        <v>856</v>
      </c>
      <c r="L23" s="32" t="s">
        <v>857</v>
      </c>
      <c r="M23" s="32" t="s">
        <v>884</v>
      </c>
      <c r="N23" s="32" t="s">
        <v>287</v>
      </c>
      <c r="O23" s="32" t="s">
        <v>859</v>
      </c>
      <c r="P23" s="32" t="s">
        <v>860</v>
      </c>
      <c r="Q23" s="15"/>
      <c r="R23" s="15"/>
      <c r="S23" s="15"/>
    </row>
    <row r="24" spans="1:19" ht="81.75" customHeight="1" x14ac:dyDescent="0.3">
      <c r="A24" s="32" t="s">
        <v>885</v>
      </c>
      <c r="B24" s="42" t="s">
        <v>853</v>
      </c>
      <c r="C24" s="32" t="s">
        <v>847</v>
      </c>
      <c r="D24" s="32" t="s">
        <v>312</v>
      </c>
      <c r="E24" s="36" t="s">
        <v>848</v>
      </c>
      <c r="F24" s="32" t="s">
        <v>849</v>
      </c>
      <c r="G24" s="32" t="s">
        <v>224</v>
      </c>
      <c r="H24" s="32" t="s">
        <v>164</v>
      </c>
      <c r="I24" s="32" t="s">
        <v>886</v>
      </c>
      <c r="J24" s="32" t="s">
        <v>855</v>
      </c>
      <c r="K24" s="32" t="s">
        <v>856</v>
      </c>
      <c r="L24" s="32" t="s">
        <v>857</v>
      </c>
      <c r="M24" s="32" t="s">
        <v>887</v>
      </c>
      <c r="N24" s="32" t="s">
        <v>318</v>
      </c>
      <c r="O24" s="32" t="s">
        <v>859</v>
      </c>
      <c r="P24" s="32" t="s">
        <v>860</v>
      </c>
      <c r="Q24" s="15"/>
      <c r="R24" s="15"/>
      <c r="S24" s="15"/>
    </row>
    <row r="25" spans="1:19" ht="108.75" customHeight="1" x14ac:dyDescent="0.3">
      <c r="A25" s="32" t="s">
        <v>888</v>
      </c>
      <c r="B25" s="41" t="s">
        <v>889</v>
      </c>
      <c r="C25" s="32" t="s">
        <v>791</v>
      </c>
      <c r="D25" s="32" t="s">
        <v>73</v>
      </c>
      <c r="E25" s="36" t="s">
        <v>792</v>
      </c>
      <c r="F25" s="32" t="s">
        <v>793</v>
      </c>
      <c r="G25" s="32" t="s">
        <v>224</v>
      </c>
      <c r="H25" s="32" t="s">
        <v>216</v>
      </c>
      <c r="I25" s="32" t="s">
        <v>222</v>
      </c>
      <c r="J25" s="32" t="s">
        <v>890</v>
      </c>
      <c r="K25" s="32" t="s">
        <v>891</v>
      </c>
      <c r="L25" s="32" t="s">
        <v>892</v>
      </c>
      <c r="M25" s="32" t="s">
        <v>893</v>
      </c>
      <c r="N25" s="32" t="s">
        <v>223</v>
      </c>
      <c r="O25" s="32" t="s">
        <v>894</v>
      </c>
      <c r="P25" s="32" t="s">
        <v>895</v>
      </c>
      <c r="Q25" s="15"/>
      <c r="R25" s="15"/>
      <c r="S25" s="15"/>
    </row>
    <row r="26" spans="1:19" ht="108.75" customHeight="1" x14ac:dyDescent="0.3">
      <c r="A26" s="32" t="s">
        <v>896</v>
      </c>
      <c r="B26" s="41" t="s">
        <v>889</v>
      </c>
      <c r="C26" s="32" t="s">
        <v>802</v>
      </c>
      <c r="D26" s="32" t="s">
        <v>71</v>
      </c>
      <c r="E26" s="36" t="s">
        <v>803</v>
      </c>
      <c r="F26" s="32" t="s">
        <v>804</v>
      </c>
      <c r="G26" s="32" t="s">
        <v>164</v>
      </c>
      <c r="H26" s="32" t="s">
        <v>171</v>
      </c>
      <c r="I26" s="32" t="s">
        <v>169</v>
      </c>
      <c r="J26" s="32" t="s">
        <v>890</v>
      </c>
      <c r="K26" s="32" t="s">
        <v>891</v>
      </c>
      <c r="L26" s="32" t="s">
        <v>892</v>
      </c>
      <c r="M26" s="32" t="s">
        <v>897</v>
      </c>
      <c r="N26" s="32" t="s">
        <v>170</v>
      </c>
      <c r="O26" s="32" t="s">
        <v>894</v>
      </c>
      <c r="P26" s="32" t="s">
        <v>895</v>
      </c>
      <c r="Q26" s="15"/>
      <c r="R26" s="15"/>
      <c r="S26" s="15"/>
    </row>
    <row r="27" spans="1:19" ht="108.75" customHeight="1" x14ac:dyDescent="0.3">
      <c r="A27" s="32" t="s">
        <v>898</v>
      </c>
      <c r="B27" s="41" t="s">
        <v>889</v>
      </c>
      <c r="C27" s="32" t="s">
        <v>808</v>
      </c>
      <c r="D27" s="32" t="s">
        <v>73</v>
      </c>
      <c r="E27" s="36" t="s">
        <v>792</v>
      </c>
      <c r="F27" s="32" t="s">
        <v>809</v>
      </c>
      <c r="G27" s="32" t="s">
        <v>217</v>
      </c>
      <c r="H27" s="32" t="s">
        <v>216</v>
      </c>
      <c r="I27" s="32" t="s">
        <v>214</v>
      </c>
      <c r="J27" s="32" t="s">
        <v>890</v>
      </c>
      <c r="K27" s="32" t="s">
        <v>891</v>
      </c>
      <c r="L27" s="32" t="s">
        <v>892</v>
      </c>
      <c r="M27" s="32" t="s">
        <v>899</v>
      </c>
      <c r="N27" s="32" t="s">
        <v>215</v>
      </c>
      <c r="O27" s="32" t="s">
        <v>894</v>
      </c>
      <c r="P27" s="32" t="s">
        <v>895</v>
      </c>
      <c r="Q27" s="15"/>
      <c r="R27" s="15"/>
      <c r="S27" s="15"/>
    </row>
    <row r="28" spans="1:19" ht="108.75" customHeight="1" x14ac:dyDescent="0.3">
      <c r="A28" s="32" t="s">
        <v>900</v>
      </c>
      <c r="B28" s="41" t="s">
        <v>889</v>
      </c>
      <c r="C28" s="32" t="s">
        <v>813</v>
      </c>
      <c r="D28" s="32" t="s">
        <v>71</v>
      </c>
      <c r="E28" s="36" t="s">
        <v>814</v>
      </c>
      <c r="F28" s="32" t="s">
        <v>815</v>
      </c>
      <c r="G28" s="32" t="s">
        <v>156</v>
      </c>
      <c r="H28" s="32" t="s">
        <v>171</v>
      </c>
      <c r="I28" s="32" t="s">
        <v>182</v>
      </c>
      <c r="J28" s="32" t="s">
        <v>890</v>
      </c>
      <c r="K28" s="32" t="s">
        <v>891</v>
      </c>
      <c r="L28" s="32" t="s">
        <v>892</v>
      </c>
      <c r="M28" s="32" t="s">
        <v>901</v>
      </c>
      <c r="N28" s="32" t="s">
        <v>183</v>
      </c>
      <c r="O28" s="32" t="s">
        <v>894</v>
      </c>
      <c r="P28" s="32" t="s">
        <v>895</v>
      </c>
      <c r="Q28" s="15"/>
      <c r="R28" s="15"/>
      <c r="S28" s="15"/>
    </row>
    <row r="29" spans="1:19" ht="108.75" customHeight="1" x14ac:dyDescent="0.3">
      <c r="A29" s="32" t="s">
        <v>902</v>
      </c>
      <c r="B29" s="41" t="s">
        <v>889</v>
      </c>
      <c r="C29" s="32" t="s">
        <v>819</v>
      </c>
      <c r="D29" s="32" t="s">
        <v>251</v>
      </c>
      <c r="E29" s="36" t="s">
        <v>820</v>
      </c>
      <c r="F29" s="32" t="s">
        <v>821</v>
      </c>
      <c r="G29" s="32" t="s">
        <v>164</v>
      </c>
      <c r="H29" s="32" t="s">
        <v>231</v>
      </c>
      <c r="I29" s="32" t="s">
        <v>262</v>
      </c>
      <c r="J29" s="32" t="s">
        <v>890</v>
      </c>
      <c r="K29" s="32" t="s">
        <v>891</v>
      </c>
      <c r="L29" s="32" t="s">
        <v>892</v>
      </c>
      <c r="M29" s="32" t="s">
        <v>903</v>
      </c>
      <c r="N29" s="32" t="s">
        <v>263</v>
      </c>
      <c r="O29" s="32" t="s">
        <v>894</v>
      </c>
      <c r="P29" s="32" t="s">
        <v>895</v>
      </c>
      <c r="Q29" s="15"/>
      <c r="R29" s="15"/>
      <c r="S29" s="15"/>
    </row>
    <row r="30" spans="1:19" ht="108.75" customHeight="1" x14ac:dyDescent="0.3">
      <c r="A30" s="32" t="s">
        <v>904</v>
      </c>
      <c r="B30" s="41" t="s">
        <v>889</v>
      </c>
      <c r="C30" s="32" t="s">
        <v>825</v>
      </c>
      <c r="D30" s="32" t="s">
        <v>77</v>
      </c>
      <c r="E30" s="36" t="s">
        <v>792</v>
      </c>
      <c r="F30" s="32" t="s">
        <v>826</v>
      </c>
      <c r="G30" s="32" t="s">
        <v>164</v>
      </c>
      <c r="H30" s="32" t="s">
        <v>250</v>
      </c>
      <c r="I30" s="32" t="s">
        <v>292</v>
      </c>
      <c r="J30" s="32" t="s">
        <v>890</v>
      </c>
      <c r="K30" s="32" t="s">
        <v>891</v>
      </c>
      <c r="L30" s="32" t="s">
        <v>892</v>
      </c>
      <c r="M30" s="32" t="s">
        <v>905</v>
      </c>
      <c r="N30" s="32" t="s">
        <v>293</v>
      </c>
      <c r="O30" s="32" t="s">
        <v>894</v>
      </c>
      <c r="P30" s="32" t="s">
        <v>895</v>
      </c>
      <c r="Q30" s="15"/>
      <c r="R30" s="15"/>
      <c r="S30" s="15"/>
    </row>
    <row r="31" spans="1:19" ht="108.75" customHeight="1" x14ac:dyDescent="0.3">
      <c r="A31" s="32" t="s">
        <v>906</v>
      </c>
      <c r="B31" s="41" t="s">
        <v>889</v>
      </c>
      <c r="C31" s="32" t="s">
        <v>830</v>
      </c>
      <c r="D31" s="32" t="s">
        <v>77</v>
      </c>
      <c r="E31" s="36" t="s">
        <v>831</v>
      </c>
      <c r="F31" s="32" t="s">
        <v>832</v>
      </c>
      <c r="G31" s="32" t="s">
        <v>164</v>
      </c>
      <c r="H31" s="32" t="s">
        <v>250</v>
      </c>
      <c r="I31" s="32" t="s">
        <v>304</v>
      </c>
      <c r="J31" s="32" t="s">
        <v>890</v>
      </c>
      <c r="K31" s="32" t="s">
        <v>891</v>
      </c>
      <c r="L31" s="32" t="s">
        <v>892</v>
      </c>
      <c r="M31" s="32" t="s">
        <v>907</v>
      </c>
      <c r="N31" s="32" t="s">
        <v>305</v>
      </c>
      <c r="O31" s="32" t="s">
        <v>894</v>
      </c>
      <c r="P31" s="32" t="s">
        <v>895</v>
      </c>
      <c r="Q31" s="15"/>
      <c r="R31" s="15"/>
      <c r="S31" s="15"/>
    </row>
    <row r="32" spans="1:19" ht="108.75" customHeight="1" x14ac:dyDescent="0.3">
      <c r="A32" s="32" t="s">
        <v>908</v>
      </c>
      <c r="B32" s="41" t="s">
        <v>889</v>
      </c>
      <c r="C32" s="32" t="s">
        <v>836</v>
      </c>
      <c r="D32" s="32" t="s">
        <v>73</v>
      </c>
      <c r="E32" s="36" t="s">
        <v>803</v>
      </c>
      <c r="F32" s="32" t="s">
        <v>837</v>
      </c>
      <c r="G32" s="32" t="s">
        <v>217</v>
      </c>
      <c r="H32" s="32" t="s">
        <v>163</v>
      </c>
      <c r="I32" s="32" t="s">
        <v>242</v>
      </c>
      <c r="J32" s="32" t="s">
        <v>890</v>
      </c>
      <c r="K32" s="32" t="s">
        <v>891</v>
      </c>
      <c r="L32" s="32" t="s">
        <v>892</v>
      </c>
      <c r="M32" s="32" t="s">
        <v>909</v>
      </c>
      <c r="N32" s="32" t="s">
        <v>243</v>
      </c>
      <c r="O32" s="32" t="s">
        <v>894</v>
      </c>
      <c r="P32" s="32" t="s">
        <v>895</v>
      </c>
      <c r="Q32" s="15"/>
      <c r="R32" s="15"/>
      <c r="S32" s="15"/>
    </row>
    <row r="33" spans="1:19" ht="108.75" customHeight="1" x14ac:dyDescent="0.3">
      <c r="A33" s="32" t="s">
        <v>910</v>
      </c>
      <c r="B33" s="41" t="s">
        <v>889</v>
      </c>
      <c r="C33" s="32" t="s">
        <v>841</v>
      </c>
      <c r="D33" s="32" t="s">
        <v>77</v>
      </c>
      <c r="E33" s="36" t="s">
        <v>842</v>
      </c>
      <c r="F33" s="32" t="s">
        <v>843</v>
      </c>
      <c r="G33" s="32" t="s">
        <v>164</v>
      </c>
      <c r="H33" s="32" t="s">
        <v>250</v>
      </c>
      <c r="I33" s="32" t="s">
        <v>286</v>
      </c>
      <c r="J33" s="32" t="s">
        <v>890</v>
      </c>
      <c r="K33" s="32" t="s">
        <v>891</v>
      </c>
      <c r="L33" s="32" t="s">
        <v>892</v>
      </c>
      <c r="M33" s="32" t="s">
        <v>911</v>
      </c>
      <c r="N33" s="32" t="s">
        <v>287</v>
      </c>
      <c r="O33" s="32" t="s">
        <v>894</v>
      </c>
      <c r="P33" s="32" t="s">
        <v>895</v>
      </c>
      <c r="Q33" s="15"/>
      <c r="R33" s="15"/>
      <c r="S33" s="15"/>
    </row>
    <row r="34" spans="1:19" ht="108.75" customHeight="1" x14ac:dyDescent="0.3">
      <c r="A34" s="32" t="s">
        <v>912</v>
      </c>
      <c r="B34" s="41" t="s">
        <v>889</v>
      </c>
      <c r="C34" s="32" t="s">
        <v>847</v>
      </c>
      <c r="D34" s="32" t="s">
        <v>312</v>
      </c>
      <c r="E34" s="36" t="s">
        <v>848</v>
      </c>
      <c r="F34" s="32" t="s">
        <v>849</v>
      </c>
      <c r="G34" s="32" t="s">
        <v>224</v>
      </c>
      <c r="H34" s="32" t="s">
        <v>164</v>
      </c>
      <c r="I34" s="32" t="s">
        <v>317</v>
      </c>
      <c r="J34" s="32" t="s">
        <v>890</v>
      </c>
      <c r="K34" s="32" t="s">
        <v>891</v>
      </c>
      <c r="L34" s="32" t="s">
        <v>892</v>
      </c>
      <c r="M34" s="32" t="s">
        <v>913</v>
      </c>
      <c r="N34" s="32" t="s">
        <v>318</v>
      </c>
      <c r="O34" s="32" t="s">
        <v>894</v>
      </c>
      <c r="P34" s="32" t="s">
        <v>895</v>
      </c>
      <c r="Q34" s="15"/>
      <c r="R34" s="15"/>
      <c r="S34" s="15"/>
    </row>
  </sheetData>
  <autoFilter ref="A4:P34"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8F00"/>
  </sheetPr>
  <dimension ref="A1:H14"/>
  <sheetViews>
    <sheetView showGridLines="0" zoomScaleNormal="100" workbookViewId="0"/>
  </sheetViews>
  <sheetFormatPr defaultColWidth="8.6328125" defaultRowHeight="14.5" x14ac:dyDescent="0.35"/>
  <cols>
    <col min="1" max="1" width="24" style="14" customWidth="1"/>
    <col min="2" max="2" width="26" style="14" customWidth="1"/>
    <col min="3" max="4" width="16" style="14" customWidth="1"/>
    <col min="5" max="5" width="34" style="14" customWidth="1"/>
    <col min="7" max="8" width="20" style="14" customWidth="1"/>
  </cols>
  <sheetData>
    <row r="1" spans="1:8" ht="17.25" customHeight="1" x14ac:dyDescent="0.35">
      <c r="A1" s="57" t="s">
        <v>914</v>
      </c>
      <c r="B1" s="15"/>
      <c r="C1" s="15"/>
      <c r="D1" s="15"/>
      <c r="E1" s="15"/>
      <c r="F1" s="15"/>
      <c r="G1" s="27" t="str">
        <f>HYPERLINK("#TRANGCHU!A1","⬅ Về Trang chủ")</f>
        <v>⬅ Về Trang chủ</v>
      </c>
      <c r="H1" s="27" t="str">
        <f>HYPERLINK("#HUONGDAN!A1","📖 Về Hướng dẫn")</f>
        <v>📖 Về Hướng dẫn</v>
      </c>
    </row>
    <row r="2" spans="1:8" ht="15" customHeight="1" x14ac:dyDescent="0.3">
      <c r="A2" s="28" t="s">
        <v>915</v>
      </c>
      <c r="B2" s="15"/>
      <c r="C2" s="15"/>
      <c r="D2" s="15"/>
      <c r="E2" s="15"/>
      <c r="F2" s="15"/>
      <c r="G2" s="15"/>
      <c r="H2" s="15"/>
    </row>
    <row r="3" spans="1:8" ht="15" customHeight="1" x14ac:dyDescent="0.3">
      <c r="A3" s="15"/>
      <c r="B3" s="15"/>
      <c r="C3" s="15"/>
      <c r="D3" s="15"/>
      <c r="E3" s="15"/>
      <c r="F3" s="15"/>
      <c r="G3" s="15"/>
      <c r="H3" s="15"/>
    </row>
    <row r="4" spans="1:8" ht="15" customHeight="1" x14ac:dyDescent="0.3">
      <c r="A4" s="58" t="s">
        <v>581</v>
      </c>
      <c r="B4" s="58" t="s">
        <v>916</v>
      </c>
      <c r="C4" s="58" t="s">
        <v>917</v>
      </c>
      <c r="D4" s="58" t="s">
        <v>918</v>
      </c>
      <c r="E4" s="58" t="s">
        <v>919</v>
      </c>
      <c r="F4" s="15"/>
      <c r="G4" s="15"/>
      <c r="H4" s="15"/>
    </row>
    <row r="5" spans="1:8" ht="27.75" customHeight="1" x14ac:dyDescent="0.3">
      <c r="A5" s="32" t="s">
        <v>583</v>
      </c>
      <c r="B5" s="32" t="s">
        <v>920</v>
      </c>
      <c r="C5" s="32" t="s">
        <v>921</v>
      </c>
      <c r="D5" s="32" t="s">
        <v>922</v>
      </c>
      <c r="E5" s="32" t="s">
        <v>923</v>
      </c>
      <c r="F5" s="15"/>
      <c r="G5" s="15"/>
      <c r="H5" s="15"/>
    </row>
    <row r="6" spans="1:8" ht="41.25" customHeight="1" x14ac:dyDescent="0.3">
      <c r="A6" s="32" t="s">
        <v>585</v>
      </c>
      <c r="B6" s="32" t="s">
        <v>924</v>
      </c>
      <c r="C6" s="32" t="s">
        <v>925</v>
      </c>
      <c r="D6" s="32" t="s">
        <v>922</v>
      </c>
      <c r="E6" s="32" t="s">
        <v>926</v>
      </c>
      <c r="F6" s="15"/>
      <c r="G6" s="15"/>
      <c r="H6" s="15"/>
    </row>
    <row r="7" spans="1:8" ht="27.75" customHeight="1" x14ac:dyDescent="0.3">
      <c r="A7" s="32" t="s">
        <v>927</v>
      </c>
      <c r="B7" s="32" t="s">
        <v>928</v>
      </c>
      <c r="C7" s="32" t="s">
        <v>929</v>
      </c>
      <c r="D7" s="32" t="s">
        <v>922</v>
      </c>
      <c r="E7" s="32" t="s">
        <v>930</v>
      </c>
      <c r="F7" s="15"/>
      <c r="G7" s="15"/>
      <c r="H7" s="15"/>
    </row>
    <row r="8" spans="1:8" ht="41.25" customHeight="1" x14ac:dyDescent="0.3">
      <c r="A8" s="32" t="s">
        <v>931</v>
      </c>
      <c r="B8" s="32" t="s">
        <v>932</v>
      </c>
      <c r="C8" s="32" t="s">
        <v>933</v>
      </c>
      <c r="D8" s="32" t="s">
        <v>922</v>
      </c>
      <c r="E8" s="32" t="s">
        <v>934</v>
      </c>
      <c r="F8" s="15"/>
      <c r="G8" s="15"/>
      <c r="H8" s="15"/>
    </row>
    <row r="9" spans="1:8" ht="27.75" customHeight="1" x14ac:dyDescent="0.3">
      <c r="A9" s="32" t="s">
        <v>591</v>
      </c>
      <c r="B9" s="32" t="s">
        <v>935</v>
      </c>
      <c r="C9" s="32" t="s">
        <v>921</v>
      </c>
      <c r="D9" s="32" t="s">
        <v>922</v>
      </c>
      <c r="E9" s="32" t="s">
        <v>936</v>
      </c>
      <c r="F9" s="15"/>
      <c r="G9" s="15"/>
      <c r="H9" s="15"/>
    </row>
    <row r="10" spans="1:8" ht="41.25" customHeight="1" x14ac:dyDescent="0.3">
      <c r="A10" s="32" t="s">
        <v>937</v>
      </c>
      <c r="B10" s="32" t="s">
        <v>938</v>
      </c>
      <c r="C10" s="32" t="s">
        <v>939</v>
      </c>
      <c r="D10" s="32" t="s">
        <v>922</v>
      </c>
      <c r="E10" s="32" t="s">
        <v>940</v>
      </c>
      <c r="F10" s="15"/>
      <c r="G10" s="15"/>
      <c r="H10" s="15"/>
    </row>
    <row r="11" spans="1:8" ht="27.75" customHeight="1" x14ac:dyDescent="0.3">
      <c r="A11" s="32" t="s">
        <v>595</v>
      </c>
      <c r="B11" s="32" t="s">
        <v>941</v>
      </c>
      <c r="C11" s="32" t="s">
        <v>933</v>
      </c>
      <c r="D11" s="32" t="s">
        <v>922</v>
      </c>
      <c r="E11" s="32" t="s">
        <v>942</v>
      </c>
      <c r="F11" s="15"/>
      <c r="G11" s="15"/>
      <c r="H11" s="15"/>
    </row>
    <row r="12" spans="1:8" ht="27.75" customHeight="1" x14ac:dyDescent="0.3">
      <c r="A12" s="32" t="s">
        <v>597</v>
      </c>
      <c r="B12" s="32" t="s">
        <v>943</v>
      </c>
      <c r="C12" s="32" t="s">
        <v>944</v>
      </c>
      <c r="D12" s="32" t="s">
        <v>922</v>
      </c>
      <c r="E12" s="32" t="s">
        <v>945</v>
      </c>
      <c r="F12" s="15"/>
      <c r="G12" s="15"/>
      <c r="H12" s="15"/>
    </row>
    <row r="13" spans="1:8" ht="41.25" customHeight="1" x14ac:dyDescent="0.3">
      <c r="A13" s="32" t="s">
        <v>599</v>
      </c>
      <c r="B13" s="32" t="s">
        <v>946</v>
      </c>
      <c r="C13" s="32" t="s">
        <v>947</v>
      </c>
      <c r="D13" s="32" t="s">
        <v>922</v>
      </c>
      <c r="E13" s="32" t="s">
        <v>948</v>
      </c>
      <c r="F13" s="15"/>
      <c r="G13" s="15"/>
      <c r="H13" s="15"/>
    </row>
    <row r="14" spans="1:8" ht="41.25" customHeight="1" x14ac:dyDescent="0.3">
      <c r="A14" s="32" t="s">
        <v>949</v>
      </c>
      <c r="B14" s="32" t="s">
        <v>950</v>
      </c>
      <c r="C14" s="32" t="s">
        <v>951</v>
      </c>
      <c r="D14" s="32" t="s">
        <v>922</v>
      </c>
      <c r="E14" s="32" t="s">
        <v>952</v>
      </c>
      <c r="F14" s="15"/>
      <c r="G14" s="15"/>
      <c r="H14" s="15"/>
    </row>
  </sheetData>
  <autoFilter ref="A4:E14"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K35"/>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6328125" defaultRowHeight="14.5" x14ac:dyDescent="0.35"/>
  <cols>
    <col min="1" max="1" width="16" style="14" customWidth="1"/>
    <col min="2" max="2" width="7" style="14" customWidth="1"/>
    <col min="3" max="3" width="24" style="14" customWidth="1"/>
    <col min="4" max="6" width="26" style="14" customWidth="1"/>
    <col min="7" max="7" width="24" style="14" customWidth="1"/>
    <col min="8" max="8" width="28" style="14" customWidth="1"/>
    <col min="10" max="11" width="20" style="14" customWidth="1"/>
  </cols>
  <sheetData>
    <row r="1" spans="1:11" ht="17.25" customHeight="1" x14ac:dyDescent="0.35">
      <c r="A1" s="59" t="s">
        <v>953</v>
      </c>
      <c r="B1" s="15"/>
      <c r="C1" s="15"/>
      <c r="D1" s="15"/>
      <c r="E1" s="15"/>
      <c r="F1" s="15"/>
      <c r="G1" s="15"/>
      <c r="H1" s="15"/>
      <c r="I1" s="15"/>
      <c r="J1" s="27" t="str">
        <f>HYPERLINK("#TRANGCHU!A1","⬅ Về Trang chủ")</f>
        <v>⬅ Về Trang chủ</v>
      </c>
      <c r="K1" s="27" t="str">
        <f>HYPERLINK("#HUONGDAN!A1","📖 Về Hướng dẫn")</f>
        <v>📖 Về Hướng dẫn</v>
      </c>
    </row>
    <row r="2" spans="1:11" ht="15" customHeight="1" x14ac:dyDescent="0.3">
      <c r="A2" s="28" t="s">
        <v>954</v>
      </c>
      <c r="B2" s="15"/>
      <c r="C2" s="15"/>
      <c r="D2" s="15"/>
      <c r="E2" s="15"/>
      <c r="F2" s="15"/>
      <c r="G2" s="15"/>
      <c r="H2" s="15"/>
      <c r="I2" s="15"/>
      <c r="J2" s="15"/>
      <c r="K2" s="15"/>
    </row>
    <row r="3" spans="1:11" ht="15" customHeight="1" x14ac:dyDescent="0.3">
      <c r="A3" s="44" t="s">
        <v>955</v>
      </c>
      <c r="B3" s="15"/>
      <c r="C3" s="15"/>
      <c r="D3" s="15"/>
      <c r="E3" s="15"/>
      <c r="F3" s="15"/>
      <c r="G3" s="15"/>
      <c r="H3" s="15"/>
      <c r="I3" s="15"/>
      <c r="J3" s="15"/>
      <c r="K3" s="15"/>
    </row>
    <row r="4" spans="1:11" ht="15" customHeight="1" x14ac:dyDescent="0.3">
      <c r="A4" s="15"/>
      <c r="B4" s="15"/>
      <c r="C4" s="15"/>
      <c r="D4" s="15"/>
      <c r="E4" s="15"/>
      <c r="F4" s="15"/>
      <c r="G4" s="15"/>
      <c r="H4" s="15"/>
      <c r="I4" s="15"/>
      <c r="J4" s="15"/>
      <c r="K4" s="15"/>
    </row>
    <row r="5" spans="1:11" ht="15" customHeight="1" x14ac:dyDescent="0.3">
      <c r="A5" s="60" t="s">
        <v>68</v>
      </c>
      <c r="B5" s="60" t="s">
        <v>141</v>
      </c>
      <c r="C5" s="60" t="s">
        <v>142</v>
      </c>
      <c r="D5" s="60" t="s">
        <v>956</v>
      </c>
      <c r="E5" s="60" t="s">
        <v>957</v>
      </c>
      <c r="F5" s="60" t="s">
        <v>958</v>
      </c>
      <c r="G5" s="60" t="s">
        <v>698</v>
      </c>
      <c r="H5" s="60" t="s">
        <v>959</v>
      </c>
      <c r="I5" s="15"/>
      <c r="J5" s="15"/>
      <c r="K5" s="15"/>
    </row>
    <row r="6" spans="1:11" ht="41.25" customHeight="1" x14ac:dyDescent="0.3">
      <c r="A6" s="39" t="s">
        <v>71</v>
      </c>
      <c r="B6" s="36" t="s">
        <v>149</v>
      </c>
      <c r="C6" s="36" t="s">
        <v>150</v>
      </c>
      <c r="D6" s="36" t="s">
        <v>151</v>
      </c>
      <c r="E6" s="36" t="s">
        <v>152</v>
      </c>
      <c r="F6" s="36" t="s">
        <v>153</v>
      </c>
      <c r="G6" s="36" t="s">
        <v>154</v>
      </c>
      <c r="H6" s="36" t="s">
        <v>960</v>
      </c>
      <c r="I6" s="15"/>
      <c r="J6" s="15"/>
      <c r="K6" s="15"/>
    </row>
    <row r="7" spans="1:11" ht="54.75" customHeight="1" x14ac:dyDescent="0.3">
      <c r="A7" s="39" t="s">
        <v>71</v>
      </c>
      <c r="B7" s="36" t="s">
        <v>157</v>
      </c>
      <c r="C7" s="36" t="s">
        <v>158</v>
      </c>
      <c r="D7" s="36" t="s">
        <v>159</v>
      </c>
      <c r="E7" s="36" t="s">
        <v>160</v>
      </c>
      <c r="F7" s="36" t="s">
        <v>161</v>
      </c>
      <c r="G7" s="36" t="s">
        <v>162</v>
      </c>
      <c r="H7" s="36" t="s">
        <v>961</v>
      </c>
      <c r="I7" s="15"/>
      <c r="J7" s="15"/>
      <c r="K7" s="15"/>
    </row>
    <row r="8" spans="1:11" ht="41.25" customHeight="1" x14ac:dyDescent="0.3">
      <c r="A8" s="39" t="s">
        <v>71</v>
      </c>
      <c r="B8" s="36" t="s">
        <v>165</v>
      </c>
      <c r="C8" s="36" t="s">
        <v>166</v>
      </c>
      <c r="D8" s="36" t="s">
        <v>167</v>
      </c>
      <c r="E8" s="36" t="s">
        <v>168</v>
      </c>
      <c r="F8" s="36" t="s">
        <v>169</v>
      </c>
      <c r="G8" s="36" t="s">
        <v>170</v>
      </c>
      <c r="H8" s="36" t="s">
        <v>962</v>
      </c>
      <c r="I8" s="15"/>
      <c r="J8" s="15"/>
      <c r="K8" s="15"/>
    </row>
    <row r="9" spans="1:11" ht="54.75" customHeight="1" x14ac:dyDescent="0.3">
      <c r="A9" s="39" t="s">
        <v>71</v>
      </c>
      <c r="B9" s="36" t="s">
        <v>172</v>
      </c>
      <c r="C9" s="36" t="s">
        <v>173</v>
      </c>
      <c r="D9" s="36" t="s">
        <v>174</v>
      </c>
      <c r="E9" s="36" t="s">
        <v>175</v>
      </c>
      <c r="F9" s="36" t="s">
        <v>176</v>
      </c>
      <c r="G9" s="36" t="s">
        <v>177</v>
      </c>
      <c r="H9" s="36" t="s">
        <v>963</v>
      </c>
      <c r="I9" s="15"/>
      <c r="J9" s="15"/>
      <c r="K9" s="15"/>
    </row>
    <row r="10" spans="1:11" ht="41.25" customHeight="1" x14ac:dyDescent="0.3">
      <c r="A10" s="39" t="s">
        <v>71</v>
      </c>
      <c r="B10" s="36" t="s">
        <v>178</v>
      </c>
      <c r="C10" s="36" t="s">
        <v>179</v>
      </c>
      <c r="D10" s="36" t="s">
        <v>180</v>
      </c>
      <c r="E10" s="36" t="s">
        <v>181</v>
      </c>
      <c r="F10" s="36" t="s">
        <v>182</v>
      </c>
      <c r="G10" s="36" t="s">
        <v>183</v>
      </c>
      <c r="H10" s="36" t="s">
        <v>964</v>
      </c>
      <c r="I10" s="15"/>
      <c r="J10" s="15"/>
      <c r="K10" s="15"/>
    </row>
    <row r="11" spans="1:11" ht="54.75" customHeight="1" x14ac:dyDescent="0.3">
      <c r="A11" s="39" t="s">
        <v>71</v>
      </c>
      <c r="B11" s="36" t="s">
        <v>184</v>
      </c>
      <c r="C11" s="36" t="s">
        <v>185</v>
      </c>
      <c r="D11" s="36" t="s">
        <v>186</v>
      </c>
      <c r="E11" s="36" t="s">
        <v>187</v>
      </c>
      <c r="F11" s="36" t="s">
        <v>188</v>
      </c>
      <c r="G11" s="36" t="s">
        <v>189</v>
      </c>
      <c r="H11" s="36" t="s">
        <v>965</v>
      </c>
      <c r="I11" s="15"/>
      <c r="J11" s="15"/>
      <c r="K11" s="15"/>
    </row>
    <row r="12" spans="1:11" ht="54.75" customHeight="1" x14ac:dyDescent="0.3">
      <c r="A12" s="39" t="s">
        <v>71</v>
      </c>
      <c r="B12" s="36" t="s">
        <v>190</v>
      </c>
      <c r="C12" s="36" t="s">
        <v>191</v>
      </c>
      <c r="D12" s="36" t="s">
        <v>192</v>
      </c>
      <c r="E12" s="36" t="s">
        <v>193</v>
      </c>
      <c r="F12" s="36" t="s">
        <v>194</v>
      </c>
      <c r="G12" s="36" t="s">
        <v>195</v>
      </c>
      <c r="H12" s="36" t="s">
        <v>966</v>
      </c>
      <c r="I12" s="15"/>
      <c r="J12" s="15"/>
      <c r="K12" s="15"/>
    </row>
    <row r="13" spans="1:11" ht="41.25" customHeight="1" x14ac:dyDescent="0.3">
      <c r="A13" s="40" t="s">
        <v>73</v>
      </c>
      <c r="B13" s="36" t="s">
        <v>197</v>
      </c>
      <c r="C13" s="36" t="s">
        <v>198</v>
      </c>
      <c r="D13" s="36" t="s">
        <v>199</v>
      </c>
      <c r="E13" s="36" t="s">
        <v>200</v>
      </c>
      <c r="F13" s="36" t="s">
        <v>201</v>
      </c>
      <c r="G13" s="36" t="s">
        <v>202</v>
      </c>
      <c r="H13" s="36" t="s">
        <v>967</v>
      </c>
      <c r="I13" s="15"/>
      <c r="J13" s="15"/>
      <c r="K13" s="15"/>
    </row>
    <row r="14" spans="1:11" ht="41.25" customHeight="1" x14ac:dyDescent="0.3">
      <c r="A14" s="40" t="s">
        <v>73</v>
      </c>
      <c r="B14" s="36" t="s">
        <v>204</v>
      </c>
      <c r="C14" s="36" t="s">
        <v>205</v>
      </c>
      <c r="D14" s="36" t="s">
        <v>206</v>
      </c>
      <c r="E14" s="36" t="s">
        <v>207</v>
      </c>
      <c r="F14" s="36" t="s">
        <v>208</v>
      </c>
      <c r="G14" s="36" t="s">
        <v>209</v>
      </c>
      <c r="H14" s="36" t="s">
        <v>968</v>
      </c>
      <c r="I14" s="15"/>
      <c r="J14" s="15"/>
      <c r="K14" s="15"/>
    </row>
    <row r="15" spans="1:11" ht="41.25" customHeight="1" x14ac:dyDescent="0.3">
      <c r="A15" s="40" t="s">
        <v>73</v>
      </c>
      <c r="B15" s="36" t="s">
        <v>210</v>
      </c>
      <c r="C15" s="36" t="s">
        <v>211</v>
      </c>
      <c r="D15" s="36" t="s">
        <v>212</v>
      </c>
      <c r="E15" s="36" t="s">
        <v>213</v>
      </c>
      <c r="F15" s="36" t="s">
        <v>214</v>
      </c>
      <c r="G15" s="36" t="s">
        <v>215</v>
      </c>
      <c r="H15" s="36" t="s">
        <v>969</v>
      </c>
      <c r="I15" s="15"/>
      <c r="J15" s="15"/>
      <c r="K15" s="15"/>
    </row>
    <row r="16" spans="1:11" ht="54.75" customHeight="1" x14ac:dyDescent="0.3">
      <c r="A16" s="40" t="s">
        <v>73</v>
      </c>
      <c r="B16" s="36" t="s">
        <v>218</v>
      </c>
      <c r="C16" s="36" t="s">
        <v>219</v>
      </c>
      <c r="D16" s="36" t="s">
        <v>220</v>
      </c>
      <c r="E16" s="36" t="s">
        <v>221</v>
      </c>
      <c r="F16" s="36" t="s">
        <v>222</v>
      </c>
      <c r="G16" s="36" t="s">
        <v>223</v>
      </c>
      <c r="H16" s="36" t="s">
        <v>970</v>
      </c>
      <c r="I16" s="15"/>
      <c r="J16" s="15"/>
      <c r="K16" s="15"/>
    </row>
    <row r="17" spans="1:11" ht="41.25" customHeight="1" x14ac:dyDescent="0.3">
      <c r="A17" s="40" t="s">
        <v>73</v>
      </c>
      <c r="B17" s="36" t="s">
        <v>225</v>
      </c>
      <c r="C17" s="36" t="s">
        <v>226</v>
      </c>
      <c r="D17" s="36" t="s">
        <v>227</v>
      </c>
      <c r="E17" s="36" t="s">
        <v>228</v>
      </c>
      <c r="F17" s="36" t="s">
        <v>229</v>
      </c>
      <c r="G17" s="36" t="s">
        <v>230</v>
      </c>
      <c r="H17" s="36" t="s">
        <v>971</v>
      </c>
      <c r="I17" s="15"/>
      <c r="J17" s="15"/>
      <c r="K17" s="15"/>
    </row>
    <row r="18" spans="1:11" ht="41.25" customHeight="1" x14ac:dyDescent="0.3">
      <c r="A18" s="40" t="s">
        <v>73</v>
      </c>
      <c r="B18" s="36" t="s">
        <v>232</v>
      </c>
      <c r="C18" s="36" t="s">
        <v>233</v>
      </c>
      <c r="D18" s="36" t="s">
        <v>234</v>
      </c>
      <c r="E18" s="36" t="s">
        <v>235</v>
      </c>
      <c r="F18" s="36" t="s">
        <v>236</v>
      </c>
      <c r="G18" s="36" t="s">
        <v>237</v>
      </c>
      <c r="H18" s="36" t="s">
        <v>972</v>
      </c>
      <c r="I18" s="15"/>
      <c r="J18" s="15"/>
      <c r="K18" s="15"/>
    </row>
    <row r="19" spans="1:11" ht="54.75" customHeight="1" x14ac:dyDescent="0.3">
      <c r="A19" s="40" t="s">
        <v>73</v>
      </c>
      <c r="B19" s="36" t="s">
        <v>238</v>
      </c>
      <c r="C19" s="36" t="s">
        <v>239</v>
      </c>
      <c r="D19" s="36" t="s">
        <v>240</v>
      </c>
      <c r="E19" s="36" t="s">
        <v>241</v>
      </c>
      <c r="F19" s="36" t="s">
        <v>242</v>
      </c>
      <c r="G19" s="36" t="s">
        <v>243</v>
      </c>
      <c r="H19" s="36" t="s">
        <v>973</v>
      </c>
      <c r="I19" s="15"/>
      <c r="J19" s="15"/>
      <c r="K19" s="15"/>
    </row>
    <row r="20" spans="1:11" ht="54.75" customHeight="1" x14ac:dyDescent="0.3">
      <c r="A20" s="40" t="s">
        <v>73</v>
      </c>
      <c r="B20" s="36" t="s">
        <v>244</v>
      </c>
      <c r="C20" s="36" t="s">
        <v>245</v>
      </c>
      <c r="D20" s="36" t="s">
        <v>246</v>
      </c>
      <c r="E20" s="36" t="s">
        <v>247</v>
      </c>
      <c r="F20" s="36" t="s">
        <v>248</v>
      </c>
      <c r="G20" s="36" t="s">
        <v>249</v>
      </c>
      <c r="H20" s="36" t="s">
        <v>974</v>
      </c>
      <c r="I20" s="15"/>
      <c r="J20" s="15"/>
      <c r="K20" s="15"/>
    </row>
    <row r="21" spans="1:11" ht="41.25" customHeight="1" x14ac:dyDescent="0.3">
      <c r="A21" s="41" t="s">
        <v>251</v>
      </c>
      <c r="B21" s="36" t="s">
        <v>252</v>
      </c>
      <c r="C21" s="36" t="s">
        <v>253</v>
      </c>
      <c r="D21" s="36" t="s">
        <v>254</v>
      </c>
      <c r="E21" s="36" t="s">
        <v>255</v>
      </c>
      <c r="F21" s="36" t="s">
        <v>256</v>
      </c>
      <c r="G21" s="36" t="s">
        <v>257</v>
      </c>
      <c r="H21" s="36" t="s">
        <v>975</v>
      </c>
      <c r="I21" s="15"/>
      <c r="J21" s="15"/>
      <c r="K21" s="15"/>
    </row>
    <row r="22" spans="1:11" ht="41.25" customHeight="1" x14ac:dyDescent="0.3">
      <c r="A22" s="41" t="s">
        <v>251</v>
      </c>
      <c r="B22" s="36" t="s">
        <v>258</v>
      </c>
      <c r="C22" s="36" t="s">
        <v>259</v>
      </c>
      <c r="D22" s="36" t="s">
        <v>260</v>
      </c>
      <c r="E22" s="36" t="s">
        <v>261</v>
      </c>
      <c r="F22" s="36" t="s">
        <v>262</v>
      </c>
      <c r="G22" s="36" t="s">
        <v>263</v>
      </c>
      <c r="H22" s="36" t="s">
        <v>976</v>
      </c>
      <c r="I22" s="15"/>
      <c r="J22" s="15"/>
      <c r="K22" s="15"/>
    </row>
    <row r="23" spans="1:11" ht="41.25" customHeight="1" x14ac:dyDescent="0.3">
      <c r="A23" s="41" t="s">
        <v>251</v>
      </c>
      <c r="B23" s="36" t="s">
        <v>264</v>
      </c>
      <c r="C23" s="36" t="s">
        <v>265</v>
      </c>
      <c r="D23" s="36" t="s">
        <v>266</v>
      </c>
      <c r="E23" s="36" t="s">
        <v>267</v>
      </c>
      <c r="F23" s="36" t="s">
        <v>268</v>
      </c>
      <c r="G23" s="36" t="s">
        <v>269</v>
      </c>
      <c r="H23" s="36" t="s">
        <v>977</v>
      </c>
      <c r="I23" s="15"/>
      <c r="J23" s="15"/>
      <c r="K23" s="15"/>
    </row>
    <row r="24" spans="1:11" ht="41.25" customHeight="1" x14ac:dyDescent="0.3">
      <c r="A24" s="41" t="s">
        <v>251</v>
      </c>
      <c r="B24" s="36" t="s">
        <v>270</v>
      </c>
      <c r="C24" s="36" t="s">
        <v>271</v>
      </c>
      <c r="D24" s="36" t="s">
        <v>272</v>
      </c>
      <c r="E24" s="36" t="s">
        <v>273</v>
      </c>
      <c r="F24" s="36" t="s">
        <v>274</v>
      </c>
      <c r="G24" s="36" t="s">
        <v>275</v>
      </c>
      <c r="H24" s="36" t="s">
        <v>978</v>
      </c>
      <c r="I24" s="15"/>
      <c r="J24" s="15"/>
      <c r="K24" s="15"/>
    </row>
    <row r="25" spans="1:11" ht="54.75" customHeight="1" x14ac:dyDescent="0.3">
      <c r="A25" s="42" t="s">
        <v>77</v>
      </c>
      <c r="B25" s="36" t="s">
        <v>276</v>
      </c>
      <c r="C25" s="36" t="s">
        <v>277</v>
      </c>
      <c r="D25" s="36" t="s">
        <v>278</v>
      </c>
      <c r="E25" s="36" t="s">
        <v>279</v>
      </c>
      <c r="F25" s="36" t="s">
        <v>280</v>
      </c>
      <c r="G25" s="36" t="s">
        <v>281</v>
      </c>
      <c r="H25" s="36" t="s">
        <v>979</v>
      </c>
      <c r="I25" s="15"/>
      <c r="J25" s="15"/>
      <c r="K25" s="15"/>
    </row>
    <row r="26" spans="1:11" ht="54.75" customHeight="1" x14ac:dyDescent="0.3">
      <c r="A26" s="42" t="s">
        <v>77</v>
      </c>
      <c r="B26" s="36" t="s">
        <v>282</v>
      </c>
      <c r="C26" s="36" t="s">
        <v>283</v>
      </c>
      <c r="D26" s="36" t="s">
        <v>284</v>
      </c>
      <c r="E26" s="36" t="s">
        <v>285</v>
      </c>
      <c r="F26" s="36" t="s">
        <v>286</v>
      </c>
      <c r="G26" s="36" t="s">
        <v>287</v>
      </c>
      <c r="H26" s="36" t="s">
        <v>980</v>
      </c>
      <c r="I26" s="15"/>
      <c r="J26" s="15"/>
      <c r="K26" s="15"/>
    </row>
    <row r="27" spans="1:11" ht="41.25" customHeight="1" x14ac:dyDescent="0.3">
      <c r="A27" s="42" t="s">
        <v>77</v>
      </c>
      <c r="B27" s="36" t="s">
        <v>288</v>
      </c>
      <c r="C27" s="36" t="s">
        <v>289</v>
      </c>
      <c r="D27" s="36" t="s">
        <v>290</v>
      </c>
      <c r="E27" s="36" t="s">
        <v>291</v>
      </c>
      <c r="F27" s="36" t="s">
        <v>292</v>
      </c>
      <c r="G27" s="36" t="s">
        <v>293</v>
      </c>
      <c r="H27" s="36" t="s">
        <v>981</v>
      </c>
      <c r="I27" s="15"/>
      <c r="J27" s="15"/>
      <c r="K27" s="15"/>
    </row>
    <row r="28" spans="1:11" ht="54.75" customHeight="1" x14ac:dyDescent="0.3">
      <c r="A28" s="42" t="s">
        <v>77</v>
      </c>
      <c r="B28" s="36" t="s">
        <v>294</v>
      </c>
      <c r="C28" s="36" t="s">
        <v>295</v>
      </c>
      <c r="D28" s="36" t="s">
        <v>296</v>
      </c>
      <c r="E28" s="36" t="s">
        <v>297</v>
      </c>
      <c r="F28" s="36" t="s">
        <v>298</v>
      </c>
      <c r="G28" s="36" t="s">
        <v>299</v>
      </c>
      <c r="H28" s="36" t="s">
        <v>982</v>
      </c>
      <c r="I28" s="15"/>
      <c r="J28" s="15"/>
      <c r="K28" s="15"/>
    </row>
    <row r="29" spans="1:11" ht="54.75" customHeight="1" x14ac:dyDescent="0.3">
      <c r="A29" s="42" t="s">
        <v>77</v>
      </c>
      <c r="B29" s="36" t="s">
        <v>300</v>
      </c>
      <c r="C29" s="36" t="s">
        <v>301</v>
      </c>
      <c r="D29" s="36" t="s">
        <v>302</v>
      </c>
      <c r="E29" s="36" t="s">
        <v>303</v>
      </c>
      <c r="F29" s="36" t="s">
        <v>304</v>
      </c>
      <c r="G29" s="36" t="s">
        <v>305</v>
      </c>
      <c r="H29" s="36" t="s">
        <v>983</v>
      </c>
      <c r="I29" s="15"/>
      <c r="J29" s="15"/>
      <c r="K29" s="15"/>
    </row>
    <row r="30" spans="1:11" ht="54.75" customHeight="1" x14ac:dyDescent="0.3">
      <c r="A30" s="42" t="s">
        <v>77</v>
      </c>
      <c r="B30" s="36" t="s">
        <v>306</v>
      </c>
      <c r="C30" s="36" t="s">
        <v>307</v>
      </c>
      <c r="D30" s="36" t="s">
        <v>308</v>
      </c>
      <c r="E30" s="36" t="s">
        <v>309</v>
      </c>
      <c r="F30" s="36" t="s">
        <v>310</v>
      </c>
      <c r="G30" s="36" t="s">
        <v>311</v>
      </c>
      <c r="H30" s="36" t="s">
        <v>984</v>
      </c>
      <c r="I30" s="15"/>
      <c r="J30" s="15"/>
      <c r="K30" s="15"/>
    </row>
    <row r="31" spans="1:11" ht="54.75" customHeight="1" x14ac:dyDescent="0.3">
      <c r="A31" s="43" t="s">
        <v>312</v>
      </c>
      <c r="B31" s="36" t="s">
        <v>313</v>
      </c>
      <c r="C31" s="36" t="s">
        <v>314</v>
      </c>
      <c r="D31" s="36" t="s">
        <v>315</v>
      </c>
      <c r="E31" s="36" t="s">
        <v>316</v>
      </c>
      <c r="F31" s="36" t="s">
        <v>317</v>
      </c>
      <c r="G31" s="36" t="s">
        <v>318</v>
      </c>
      <c r="H31" s="36" t="s">
        <v>985</v>
      </c>
      <c r="I31" s="15"/>
      <c r="J31" s="15"/>
      <c r="K31" s="15"/>
    </row>
    <row r="32" spans="1:11" ht="41.25" customHeight="1" x14ac:dyDescent="0.3">
      <c r="A32" s="43" t="s">
        <v>312</v>
      </c>
      <c r="B32" s="36" t="s">
        <v>319</v>
      </c>
      <c r="C32" s="36" t="s">
        <v>320</v>
      </c>
      <c r="D32" s="36" t="s">
        <v>321</v>
      </c>
      <c r="E32" s="36" t="s">
        <v>322</v>
      </c>
      <c r="F32" s="36" t="s">
        <v>323</v>
      </c>
      <c r="G32" s="36" t="s">
        <v>324</v>
      </c>
      <c r="H32" s="36" t="s">
        <v>986</v>
      </c>
      <c r="I32" s="15"/>
      <c r="J32" s="15"/>
      <c r="K32" s="15"/>
    </row>
    <row r="33" spans="1:11" ht="41.25" customHeight="1" x14ac:dyDescent="0.3">
      <c r="A33" s="43" t="s">
        <v>312</v>
      </c>
      <c r="B33" s="36" t="s">
        <v>325</v>
      </c>
      <c r="C33" s="36" t="s">
        <v>326</v>
      </c>
      <c r="D33" s="36" t="s">
        <v>327</v>
      </c>
      <c r="E33" s="36" t="s">
        <v>328</v>
      </c>
      <c r="F33" s="36" t="s">
        <v>329</v>
      </c>
      <c r="G33" s="36" t="s">
        <v>330</v>
      </c>
      <c r="H33" s="36" t="s">
        <v>987</v>
      </c>
      <c r="I33" s="15"/>
      <c r="J33" s="15"/>
      <c r="K33" s="15"/>
    </row>
    <row r="34" spans="1:11" ht="41.25" customHeight="1" x14ac:dyDescent="0.3">
      <c r="A34" s="43" t="s">
        <v>312</v>
      </c>
      <c r="B34" s="36" t="s">
        <v>331</v>
      </c>
      <c r="C34" s="36" t="s">
        <v>332</v>
      </c>
      <c r="D34" s="36" t="s">
        <v>333</v>
      </c>
      <c r="E34" s="36" t="s">
        <v>334</v>
      </c>
      <c r="F34" s="36" t="s">
        <v>335</v>
      </c>
      <c r="G34" s="36" t="s">
        <v>336</v>
      </c>
      <c r="H34" s="36" t="s">
        <v>988</v>
      </c>
      <c r="I34" s="15"/>
      <c r="J34" s="15"/>
      <c r="K34" s="15"/>
    </row>
    <row r="35" spans="1:11" ht="41.25" customHeight="1" x14ac:dyDescent="0.3">
      <c r="A35" s="43" t="s">
        <v>312</v>
      </c>
      <c r="B35" s="36" t="s">
        <v>337</v>
      </c>
      <c r="C35" s="36" t="s">
        <v>338</v>
      </c>
      <c r="D35" s="36" t="s">
        <v>339</v>
      </c>
      <c r="E35" s="36" t="s">
        <v>340</v>
      </c>
      <c r="F35" s="36" t="s">
        <v>341</v>
      </c>
      <c r="G35" s="36" t="s">
        <v>342</v>
      </c>
      <c r="H35" s="36" t="s">
        <v>989</v>
      </c>
      <c r="I35" s="15"/>
      <c r="J35" s="15"/>
      <c r="K35" s="15"/>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W46"/>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328125" defaultRowHeight="14.5" x14ac:dyDescent="0.35"/>
  <cols>
    <col min="1" max="1" width="5" style="14" customWidth="1"/>
    <col min="2" max="2" width="22" style="14" customWidth="1"/>
    <col min="3" max="3" width="9" style="14" customWidth="1"/>
    <col min="4" max="4" width="12" style="14" customWidth="1"/>
    <col min="5" max="5" width="22" style="14" customWidth="1"/>
    <col min="6" max="15" width="8" style="14" customWidth="1"/>
    <col min="16" max="19" width="14" style="14" customWidth="1"/>
    <col min="20" max="20" width="30" style="14" customWidth="1"/>
    <col min="22" max="23" width="20" style="14" customWidth="1"/>
  </cols>
  <sheetData>
    <row r="1" spans="1:23" ht="17.25" customHeight="1" x14ac:dyDescent="0.35">
      <c r="A1" s="59" t="s">
        <v>990</v>
      </c>
      <c r="B1" s="15"/>
      <c r="C1" s="15"/>
      <c r="D1" s="15"/>
      <c r="E1" s="15"/>
      <c r="F1" s="15"/>
      <c r="G1" s="15"/>
      <c r="H1" s="15"/>
      <c r="I1" s="15"/>
      <c r="J1" s="15"/>
      <c r="K1" s="15"/>
      <c r="L1" s="15"/>
      <c r="M1" s="15"/>
      <c r="N1" s="15"/>
      <c r="O1" s="15"/>
      <c r="P1" s="15"/>
      <c r="Q1" s="15"/>
      <c r="R1" s="15"/>
      <c r="S1" s="15"/>
      <c r="T1" s="15"/>
      <c r="U1" s="15"/>
      <c r="V1" s="27" t="str">
        <f>HYPERLINK("#TRANGCHU!A1","⬅ Về Trang chủ")</f>
        <v>⬅ Về Trang chủ</v>
      </c>
      <c r="W1" s="27" t="str">
        <f>HYPERLINK("#HUONGDAN!A1","📖 Về Hướng dẫn")</f>
        <v>📖 Về Hướng dẫn</v>
      </c>
    </row>
    <row r="2" spans="1:23" ht="15" customHeight="1" x14ac:dyDescent="0.3">
      <c r="A2" s="28" t="s">
        <v>991</v>
      </c>
      <c r="B2" s="15"/>
      <c r="C2" s="15"/>
      <c r="D2" s="15"/>
      <c r="E2" s="15"/>
      <c r="F2" s="15"/>
      <c r="G2" s="15"/>
      <c r="H2" s="15"/>
      <c r="I2" s="15"/>
      <c r="J2" s="15"/>
      <c r="K2" s="15"/>
      <c r="L2" s="15"/>
      <c r="M2" s="15"/>
      <c r="N2" s="15"/>
      <c r="O2" s="15"/>
      <c r="P2" s="15"/>
      <c r="Q2" s="15"/>
      <c r="R2" s="15"/>
      <c r="S2" s="15"/>
      <c r="T2" s="15"/>
      <c r="U2" s="15"/>
      <c r="V2" s="15"/>
      <c r="W2" s="15"/>
    </row>
    <row r="3" spans="1:23" ht="15" customHeight="1" x14ac:dyDescent="0.3">
      <c r="A3" s="44" t="s">
        <v>992</v>
      </c>
      <c r="B3" s="15"/>
      <c r="C3" s="15"/>
      <c r="D3" s="15"/>
      <c r="E3" s="15"/>
      <c r="F3" s="15"/>
      <c r="G3" s="15"/>
      <c r="H3" s="15"/>
      <c r="I3" s="15"/>
      <c r="J3" s="15"/>
      <c r="K3" s="15"/>
      <c r="L3" s="15"/>
      <c r="M3" s="15"/>
      <c r="N3" s="15"/>
      <c r="O3" s="15"/>
      <c r="P3" s="15"/>
      <c r="Q3" s="15"/>
      <c r="R3" s="15"/>
      <c r="S3" s="15"/>
      <c r="T3" s="15"/>
      <c r="U3" s="15"/>
      <c r="V3" s="15"/>
      <c r="W3" s="15"/>
    </row>
    <row r="4" spans="1:23" ht="15" customHeight="1" x14ac:dyDescent="0.3">
      <c r="A4" s="15"/>
      <c r="B4" s="15"/>
      <c r="C4" s="15"/>
      <c r="D4" s="15"/>
      <c r="E4" s="15"/>
      <c r="F4" s="15"/>
      <c r="G4" s="15"/>
      <c r="H4" s="15"/>
      <c r="I4" s="15"/>
      <c r="J4" s="15"/>
      <c r="K4" s="15"/>
      <c r="L4" s="15"/>
      <c r="M4" s="15"/>
      <c r="N4" s="15"/>
      <c r="O4" s="15"/>
      <c r="P4" s="15"/>
      <c r="Q4" s="15"/>
      <c r="R4" s="15"/>
      <c r="S4" s="15"/>
      <c r="T4" s="15"/>
      <c r="U4" s="15"/>
      <c r="V4" s="15"/>
      <c r="W4" s="15"/>
    </row>
    <row r="5" spans="1:23" ht="23.25" customHeight="1" x14ac:dyDescent="0.3">
      <c r="A5" s="60" t="s">
        <v>3</v>
      </c>
      <c r="B5" s="60" t="s">
        <v>993</v>
      </c>
      <c r="C5" s="60" t="s">
        <v>994</v>
      </c>
      <c r="D5" s="60" t="s">
        <v>995</v>
      </c>
      <c r="E5" s="60" t="s">
        <v>996</v>
      </c>
      <c r="F5" s="60" t="s">
        <v>997</v>
      </c>
      <c r="G5" s="60" t="s">
        <v>998</v>
      </c>
      <c r="H5" s="60" t="s">
        <v>999</v>
      </c>
      <c r="I5" s="60" t="s">
        <v>1000</v>
      </c>
      <c r="J5" s="60" t="s">
        <v>1001</v>
      </c>
      <c r="K5" s="60" t="s">
        <v>1002</v>
      </c>
      <c r="L5" s="60" t="s">
        <v>1003</v>
      </c>
      <c r="M5" s="60" t="s">
        <v>1004</v>
      </c>
      <c r="N5" s="60" t="s">
        <v>1005</v>
      </c>
      <c r="O5" s="60" t="s">
        <v>1006</v>
      </c>
      <c r="P5" s="60" t="s">
        <v>1007</v>
      </c>
      <c r="Q5" s="60" t="s">
        <v>1008</v>
      </c>
      <c r="R5" s="60" t="s">
        <v>1009</v>
      </c>
      <c r="S5" s="60" t="s">
        <v>1010</v>
      </c>
      <c r="T5" s="60" t="s">
        <v>1011</v>
      </c>
      <c r="U5" s="15"/>
      <c r="V5" s="15"/>
      <c r="W5" s="15"/>
    </row>
    <row r="6" spans="1:23" ht="15" customHeight="1" x14ac:dyDescent="0.3">
      <c r="A6" s="49">
        <v>1</v>
      </c>
      <c r="B6" s="49"/>
      <c r="C6" s="49"/>
      <c r="D6" s="49"/>
      <c r="E6" s="49"/>
      <c r="F6" s="32"/>
      <c r="G6" s="32"/>
      <c r="H6" s="32"/>
      <c r="I6" s="32"/>
      <c r="J6" s="32"/>
      <c r="K6" s="32"/>
      <c r="L6" s="32"/>
      <c r="M6" s="32"/>
      <c r="N6" s="32"/>
      <c r="O6" s="32"/>
      <c r="P6" s="49">
        <f t="shared" ref="P6:P30" si="0">COUNTIF(F6:O6,"I")</f>
        <v>0</v>
      </c>
      <c r="Q6" s="49">
        <f t="shared" ref="Q6:Q30" si="1">COUNTIF(F6:O6,"H")</f>
        <v>0</v>
      </c>
      <c r="R6" s="49">
        <f t="shared" ref="R6:R30" si="2">COUNTIF(F6:O6,"V")</f>
        <v>0</v>
      </c>
      <c r="S6" s="49">
        <f t="shared" ref="S6:S30" si="3">COUNTA(F6:O6)-COUNTIF(F6:O6,"X")</f>
        <v>0</v>
      </c>
      <c r="T6" s="49"/>
      <c r="U6" s="15"/>
      <c r="V6" s="15"/>
      <c r="W6" s="15"/>
    </row>
    <row r="7" spans="1:23" ht="15" customHeight="1" x14ac:dyDescent="0.3">
      <c r="A7" s="49">
        <v>2</v>
      </c>
      <c r="B7" s="49"/>
      <c r="C7" s="49"/>
      <c r="D7" s="49"/>
      <c r="E7" s="49"/>
      <c r="F7" s="32"/>
      <c r="G7" s="32"/>
      <c r="H7" s="32"/>
      <c r="I7" s="32"/>
      <c r="J7" s="32"/>
      <c r="K7" s="32"/>
      <c r="L7" s="32"/>
      <c r="M7" s="32"/>
      <c r="N7" s="32"/>
      <c r="O7" s="32"/>
      <c r="P7" s="49">
        <f t="shared" si="0"/>
        <v>0</v>
      </c>
      <c r="Q7" s="49">
        <f t="shared" si="1"/>
        <v>0</v>
      </c>
      <c r="R7" s="49">
        <f t="shared" si="2"/>
        <v>0</v>
      </c>
      <c r="S7" s="49">
        <f t="shared" si="3"/>
        <v>0</v>
      </c>
      <c r="T7" s="49"/>
      <c r="U7" s="15"/>
      <c r="V7" s="15"/>
      <c r="W7" s="15"/>
    </row>
    <row r="8" spans="1:23" ht="15" customHeight="1" x14ac:dyDescent="0.3">
      <c r="A8" s="49">
        <v>3</v>
      </c>
      <c r="B8" s="49"/>
      <c r="C8" s="49"/>
      <c r="D8" s="49"/>
      <c r="E8" s="49"/>
      <c r="F8" s="32"/>
      <c r="G8" s="32"/>
      <c r="H8" s="32"/>
      <c r="I8" s="32"/>
      <c r="J8" s="32"/>
      <c r="K8" s="32"/>
      <c r="L8" s="32"/>
      <c r="M8" s="32"/>
      <c r="N8" s="32"/>
      <c r="O8" s="32"/>
      <c r="P8" s="49">
        <f t="shared" si="0"/>
        <v>0</v>
      </c>
      <c r="Q8" s="49">
        <f t="shared" si="1"/>
        <v>0</v>
      </c>
      <c r="R8" s="49">
        <f t="shared" si="2"/>
        <v>0</v>
      </c>
      <c r="S8" s="49">
        <f t="shared" si="3"/>
        <v>0</v>
      </c>
      <c r="T8" s="49"/>
      <c r="U8" s="15"/>
      <c r="V8" s="15"/>
      <c r="W8" s="15"/>
    </row>
    <row r="9" spans="1:23" ht="15" customHeight="1" x14ac:dyDescent="0.3">
      <c r="A9" s="49">
        <v>4</v>
      </c>
      <c r="B9" s="49"/>
      <c r="C9" s="49"/>
      <c r="D9" s="49"/>
      <c r="E9" s="49"/>
      <c r="F9" s="32"/>
      <c r="G9" s="32"/>
      <c r="H9" s="32"/>
      <c r="I9" s="32"/>
      <c r="J9" s="32"/>
      <c r="K9" s="32"/>
      <c r="L9" s="32"/>
      <c r="M9" s="32"/>
      <c r="N9" s="32"/>
      <c r="O9" s="32"/>
      <c r="P9" s="49">
        <f t="shared" si="0"/>
        <v>0</v>
      </c>
      <c r="Q9" s="49">
        <f t="shared" si="1"/>
        <v>0</v>
      </c>
      <c r="R9" s="49">
        <f t="shared" si="2"/>
        <v>0</v>
      </c>
      <c r="S9" s="49">
        <f t="shared" si="3"/>
        <v>0</v>
      </c>
      <c r="T9" s="49"/>
      <c r="U9" s="15"/>
      <c r="V9" s="15"/>
      <c r="W9" s="15"/>
    </row>
    <row r="10" spans="1:23" ht="15" customHeight="1" x14ac:dyDescent="0.3">
      <c r="A10" s="49">
        <v>5</v>
      </c>
      <c r="B10" s="49"/>
      <c r="C10" s="49"/>
      <c r="D10" s="49"/>
      <c r="E10" s="49"/>
      <c r="F10" s="32"/>
      <c r="G10" s="32"/>
      <c r="H10" s="32"/>
      <c r="I10" s="32"/>
      <c r="J10" s="32"/>
      <c r="K10" s="32"/>
      <c r="L10" s="32"/>
      <c r="M10" s="32"/>
      <c r="N10" s="32"/>
      <c r="O10" s="32"/>
      <c r="P10" s="49">
        <f t="shared" si="0"/>
        <v>0</v>
      </c>
      <c r="Q10" s="49">
        <f t="shared" si="1"/>
        <v>0</v>
      </c>
      <c r="R10" s="49">
        <f t="shared" si="2"/>
        <v>0</v>
      </c>
      <c r="S10" s="49">
        <f t="shared" si="3"/>
        <v>0</v>
      </c>
      <c r="T10" s="49"/>
      <c r="U10" s="15"/>
      <c r="V10" s="15"/>
      <c r="W10" s="15"/>
    </row>
    <row r="11" spans="1:23" ht="15" customHeight="1" x14ac:dyDescent="0.3">
      <c r="A11" s="49">
        <v>6</v>
      </c>
      <c r="B11" s="49"/>
      <c r="C11" s="49"/>
      <c r="D11" s="49"/>
      <c r="E11" s="49"/>
      <c r="F11" s="32"/>
      <c r="G11" s="32"/>
      <c r="H11" s="32"/>
      <c r="I11" s="32"/>
      <c r="J11" s="32"/>
      <c r="K11" s="32"/>
      <c r="L11" s="32"/>
      <c r="M11" s="32"/>
      <c r="N11" s="32"/>
      <c r="O11" s="32"/>
      <c r="P11" s="49">
        <f t="shared" si="0"/>
        <v>0</v>
      </c>
      <c r="Q11" s="49">
        <f t="shared" si="1"/>
        <v>0</v>
      </c>
      <c r="R11" s="49">
        <f t="shared" si="2"/>
        <v>0</v>
      </c>
      <c r="S11" s="49">
        <f t="shared" si="3"/>
        <v>0</v>
      </c>
      <c r="T11" s="49"/>
      <c r="U11" s="15"/>
      <c r="V11" s="15"/>
      <c r="W11" s="15"/>
    </row>
    <row r="12" spans="1:23" ht="15" customHeight="1" x14ac:dyDescent="0.3">
      <c r="A12" s="49">
        <v>7</v>
      </c>
      <c r="B12" s="49"/>
      <c r="C12" s="49"/>
      <c r="D12" s="49"/>
      <c r="E12" s="49"/>
      <c r="F12" s="32"/>
      <c r="G12" s="32"/>
      <c r="H12" s="32"/>
      <c r="I12" s="32"/>
      <c r="J12" s="32"/>
      <c r="K12" s="32"/>
      <c r="L12" s="32"/>
      <c r="M12" s="32"/>
      <c r="N12" s="32"/>
      <c r="O12" s="32"/>
      <c r="P12" s="49">
        <f t="shared" si="0"/>
        <v>0</v>
      </c>
      <c r="Q12" s="49">
        <f t="shared" si="1"/>
        <v>0</v>
      </c>
      <c r="R12" s="49">
        <f t="shared" si="2"/>
        <v>0</v>
      </c>
      <c r="S12" s="49">
        <f t="shared" si="3"/>
        <v>0</v>
      </c>
      <c r="T12" s="49"/>
      <c r="U12" s="15"/>
      <c r="V12" s="15"/>
      <c r="W12" s="15"/>
    </row>
    <row r="13" spans="1:23" ht="15" customHeight="1" x14ac:dyDescent="0.3">
      <c r="A13" s="49">
        <v>8</v>
      </c>
      <c r="B13" s="49"/>
      <c r="C13" s="49"/>
      <c r="D13" s="49"/>
      <c r="E13" s="49"/>
      <c r="F13" s="32"/>
      <c r="G13" s="32"/>
      <c r="H13" s="32"/>
      <c r="I13" s="32"/>
      <c r="J13" s="32"/>
      <c r="K13" s="32"/>
      <c r="L13" s="32"/>
      <c r="M13" s="32"/>
      <c r="N13" s="32"/>
      <c r="O13" s="32"/>
      <c r="P13" s="49">
        <f t="shared" si="0"/>
        <v>0</v>
      </c>
      <c r="Q13" s="49">
        <f t="shared" si="1"/>
        <v>0</v>
      </c>
      <c r="R13" s="49">
        <f t="shared" si="2"/>
        <v>0</v>
      </c>
      <c r="S13" s="49">
        <f t="shared" si="3"/>
        <v>0</v>
      </c>
      <c r="T13" s="49"/>
      <c r="U13" s="15"/>
      <c r="V13" s="15"/>
      <c r="W13" s="15"/>
    </row>
    <row r="14" spans="1:23" ht="15" customHeight="1" x14ac:dyDescent="0.3">
      <c r="A14" s="49">
        <v>9</v>
      </c>
      <c r="B14" s="49"/>
      <c r="C14" s="49"/>
      <c r="D14" s="49"/>
      <c r="E14" s="49"/>
      <c r="F14" s="32"/>
      <c r="G14" s="32"/>
      <c r="H14" s="32"/>
      <c r="I14" s="32"/>
      <c r="J14" s="32"/>
      <c r="K14" s="32"/>
      <c r="L14" s="32"/>
      <c r="M14" s="32"/>
      <c r="N14" s="32"/>
      <c r="O14" s="32"/>
      <c r="P14" s="49">
        <f t="shared" si="0"/>
        <v>0</v>
      </c>
      <c r="Q14" s="49">
        <f t="shared" si="1"/>
        <v>0</v>
      </c>
      <c r="R14" s="49">
        <f t="shared" si="2"/>
        <v>0</v>
      </c>
      <c r="S14" s="49">
        <f t="shared" si="3"/>
        <v>0</v>
      </c>
      <c r="T14" s="49"/>
      <c r="U14" s="15"/>
      <c r="V14" s="15"/>
      <c r="W14" s="15"/>
    </row>
    <row r="15" spans="1:23" ht="15" customHeight="1" x14ac:dyDescent="0.3">
      <c r="A15" s="49">
        <v>10</v>
      </c>
      <c r="B15" s="49"/>
      <c r="C15" s="49"/>
      <c r="D15" s="49"/>
      <c r="E15" s="49"/>
      <c r="F15" s="32"/>
      <c r="G15" s="32"/>
      <c r="H15" s="32"/>
      <c r="I15" s="32"/>
      <c r="J15" s="32"/>
      <c r="K15" s="32"/>
      <c r="L15" s="32"/>
      <c r="M15" s="32"/>
      <c r="N15" s="32"/>
      <c r="O15" s="32"/>
      <c r="P15" s="49">
        <f t="shared" si="0"/>
        <v>0</v>
      </c>
      <c r="Q15" s="49">
        <f t="shared" si="1"/>
        <v>0</v>
      </c>
      <c r="R15" s="49">
        <f t="shared" si="2"/>
        <v>0</v>
      </c>
      <c r="S15" s="49">
        <f t="shared" si="3"/>
        <v>0</v>
      </c>
      <c r="T15" s="49"/>
      <c r="U15" s="15"/>
      <c r="V15" s="15"/>
      <c r="W15" s="15"/>
    </row>
    <row r="16" spans="1:23" ht="15" customHeight="1" x14ac:dyDescent="0.3">
      <c r="A16" s="49">
        <v>11</v>
      </c>
      <c r="B16" s="49"/>
      <c r="C16" s="49"/>
      <c r="D16" s="49"/>
      <c r="E16" s="49"/>
      <c r="F16" s="32"/>
      <c r="G16" s="32"/>
      <c r="H16" s="32"/>
      <c r="I16" s="32"/>
      <c r="J16" s="32"/>
      <c r="K16" s="32"/>
      <c r="L16" s="32"/>
      <c r="M16" s="32"/>
      <c r="N16" s="32"/>
      <c r="O16" s="32"/>
      <c r="P16" s="49">
        <f t="shared" si="0"/>
        <v>0</v>
      </c>
      <c r="Q16" s="49">
        <f t="shared" si="1"/>
        <v>0</v>
      </c>
      <c r="R16" s="49">
        <f t="shared" si="2"/>
        <v>0</v>
      </c>
      <c r="S16" s="49">
        <f t="shared" si="3"/>
        <v>0</v>
      </c>
      <c r="T16" s="49"/>
      <c r="U16" s="15"/>
      <c r="V16" s="15"/>
      <c r="W16" s="15"/>
    </row>
    <row r="17" spans="1:23" ht="15" customHeight="1" x14ac:dyDescent="0.3">
      <c r="A17" s="49">
        <v>12</v>
      </c>
      <c r="B17" s="49"/>
      <c r="C17" s="49"/>
      <c r="D17" s="49"/>
      <c r="E17" s="49"/>
      <c r="F17" s="32"/>
      <c r="G17" s="32"/>
      <c r="H17" s="32"/>
      <c r="I17" s="32"/>
      <c r="J17" s="32"/>
      <c r="K17" s="32"/>
      <c r="L17" s="32"/>
      <c r="M17" s="32"/>
      <c r="N17" s="32"/>
      <c r="O17" s="32"/>
      <c r="P17" s="49">
        <f t="shared" si="0"/>
        <v>0</v>
      </c>
      <c r="Q17" s="49">
        <f t="shared" si="1"/>
        <v>0</v>
      </c>
      <c r="R17" s="49">
        <f t="shared" si="2"/>
        <v>0</v>
      </c>
      <c r="S17" s="49">
        <f t="shared" si="3"/>
        <v>0</v>
      </c>
      <c r="T17" s="49"/>
      <c r="U17" s="15"/>
      <c r="V17" s="15"/>
      <c r="W17" s="15"/>
    </row>
    <row r="18" spans="1:23" ht="15" customHeight="1" x14ac:dyDescent="0.3">
      <c r="A18" s="49">
        <v>13</v>
      </c>
      <c r="B18" s="49"/>
      <c r="C18" s="49"/>
      <c r="D18" s="49"/>
      <c r="E18" s="49"/>
      <c r="F18" s="32"/>
      <c r="G18" s="32"/>
      <c r="H18" s="32"/>
      <c r="I18" s="32"/>
      <c r="J18" s="32"/>
      <c r="K18" s="32"/>
      <c r="L18" s="32"/>
      <c r="M18" s="32"/>
      <c r="N18" s="32"/>
      <c r="O18" s="32"/>
      <c r="P18" s="49">
        <f t="shared" si="0"/>
        <v>0</v>
      </c>
      <c r="Q18" s="49">
        <f t="shared" si="1"/>
        <v>0</v>
      </c>
      <c r="R18" s="49">
        <f t="shared" si="2"/>
        <v>0</v>
      </c>
      <c r="S18" s="49">
        <f t="shared" si="3"/>
        <v>0</v>
      </c>
      <c r="T18" s="49"/>
      <c r="U18" s="15"/>
      <c r="V18" s="15"/>
      <c r="W18" s="15"/>
    </row>
    <row r="19" spans="1:23" ht="15" customHeight="1" x14ac:dyDescent="0.3">
      <c r="A19" s="49">
        <v>14</v>
      </c>
      <c r="B19" s="49"/>
      <c r="C19" s="49"/>
      <c r="D19" s="49"/>
      <c r="E19" s="49"/>
      <c r="F19" s="32"/>
      <c r="G19" s="32"/>
      <c r="H19" s="32"/>
      <c r="I19" s="32"/>
      <c r="J19" s="32"/>
      <c r="K19" s="32"/>
      <c r="L19" s="32"/>
      <c r="M19" s="32"/>
      <c r="N19" s="32"/>
      <c r="O19" s="32"/>
      <c r="P19" s="49">
        <f t="shared" si="0"/>
        <v>0</v>
      </c>
      <c r="Q19" s="49">
        <f t="shared" si="1"/>
        <v>0</v>
      </c>
      <c r="R19" s="49">
        <f t="shared" si="2"/>
        <v>0</v>
      </c>
      <c r="S19" s="49">
        <f t="shared" si="3"/>
        <v>0</v>
      </c>
      <c r="T19" s="49"/>
      <c r="U19" s="15"/>
      <c r="V19" s="15"/>
      <c r="W19" s="15"/>
    </row>
    <row r="20" spans="1:23" ht="15" customHeight="1" x14ac:dyDescent="0.3">
      <c r="A20" s="49">
        <v>15</v>
      </c>
      <c r="B20" s="49"/>
      <c r="C20" s="49"/>
      <c r="D20" s="49"/>
      <c r="E20" s="49"/>
      <c r="F20" s="32"/>
      <c r="G20" s="32"/>
      <c r="H20" s="32"/>
      <c r="I20" s="32"/>
      <c r="J20" s="32"/>
      <c r="K20" s="32"/>
      <c r="L20" s="32"/>
      <c r="M20" s="32"/>
      <c r="N20" s="32"/>
      <c r="O20" s="32"/>
      <c r="P20" s="49">
        <f t="shared" si="0"/>
        <v>0</v>
      </c>
      <c r="Q20" s="49">
        <f t="shared" si="1"/>
        <v>0</v>
      </c>
      <c r="R20" s="49">
        <f t="shared" si="2"/>
        <v>0</v>
      </c>
      <c r="S20" s="49">
        <f t="shared" si="3"/>
        <v>0</v>
      </c>
      <c r="T20" s="49"/>
      <c r="U20" s="15"/>
      <c r="V20" s="15"/>
      <c r="W20" s="15"/>
    </row>
    <row r="21" spans="1:23" ht="15" customHeight="1" x14ac:dyDescent="0.3">
      <c r="A21" s="49">
        <v>16</v>
      </c>
      <c r="B21" s="49"/>
      <c r="C21" s="49"/>
      <c r="D21" s="49"/>
      <c r="E21" s="49"/>
      <c r="F21" s="32"/>
      <c r="G21" s="32"/>
      <c r="H21" s="32"/>
      <c r="I21" s="32"/>
      <c r="J21" s="32"/>
      <c r="K21" s="32"/>
      <c r="L21" s="32"/>
      <c r="M21" s="32"/>
      <c r="N21" s="32"/>
      <c r="O21" s="32"/>
      <c r="P21" s="49">
        <f t="shared" si="0"/>
        <v>0</v>
      </c>
      <c r="Q21" s="49">
        <f t="shared" si="1"/>
        <v>0</v>
      </c>
      <c r="R21" s="49">
        <f t="shared" si="2"/>
        <v>0</v>
      </c>
      <c r="S21" s="49">
        <f t="shared" si="3"/>
        <v>0</v>
      </c>
      <c r="T21" s="49"/>
      <c r="U21" s="15"/>
      <c r="V21" s="15"/>
      <c r="W21" s="15"/>
    </row>
    <row r="22" spans="1:23" ht="15" customHeight="1" x14ac:dyDescent="0.3">
      <c r="A22" s="49">
        <v>17</v>
      </c>
      <c r="B22" s="49"/>
      <c r="C22" s="49"/>
      <c r="D22" s="49"/>
      <c r="E22" s="49"/>
      <c r="F22" s="32"/>
      <c r="G22" s="32"/>
      <c r="H22" s="32"/>
      <c r="I22" s="32"/>
      <c r="J22" s="32"/>
      <c r="K22" s="32"/>
      <c r="L22" s="32"/>
      <c r="M22" s="32"/>
      <c r="N22" s="32"/>
      <c r="O22" s="32"/>
      <c r="P22" s="49">
        <f t="shared" si="0"/>
        <v>0</v>
      </c>
      <c r="Q22" s="49">
        <f t="shared" si="1"/>
        <v>0</v>
      </c>
      <c r="R22" s="49">
        <f t="shared" si="2"/>
        <v>0</v>
      </c>
      <c r="S22" s="49">
        <f t="shared" si="3"/>
        <v>0</v>
      </c>
      <c r="T22" s="49"/>
      <c r="U22" s="15"/>
      <c r="V22" s="15"/>
      <c r="W22" s="15"/>
    </row>
    <row r="23" spans="1:23" ht="15" customHeight="1" x14ac:dyDescent="0.3">
      <c r="A23" s="49">
        <v>18</v>
      </c>
      <c r="B23" s="49"/>
      <c r="C23" s="49"/>
      <c r="D23" s="49"/>
      <c r="E23" s="49"/>
      <c r="F23" s="32"/>
      <c r="G23" s="32"/>
      <c r="H23" s="32"/>
      <c r="I23" s="32"/>
      <c r="J23" s="32"/>
      <c r="K23" s="32"/>
      <c r="L23" s="32"/>
      <c r="M23" s="32"/>
      <c r="N23" s="32"/>
      <c r="O23" s="32"/>
      <c r="P23" s="49">
        <f t="shared" si="0"/>
        <v>0</v>
      </c>
      <c r="Q23" s="49">
        <f t="shared" si="1"/>
        <v>0</v>
      </c>
      <c r="R23" s="49">
        <f t="shared" si="2"/>
        <v>0</v>
      </c>
      <c r="S23" s="49">
        <f t="shared" si="3"/>
        <v>0</v>
      </c>
      <c r="T23" s="49"/>
      <c r="U23" s="15"/>
      <c r="V23" s="15"/>
      <c r="W23" s="15"/>
    </row>
    <row r="24" spans="1:23" ht="15" customHeight="1" x14ac:dyDescent="0.3">
      <c r="A24" s="49">
        <v>19</v>
      </c>
      <c r="B24" s="49"/>
      <c r="C24" s="49"/>
      <c r="D24" s="49"/>
      <c r="E24" s="49"/>
      <c r="F24" s="32"/>
      <c r="G24" s="32"/>
      <c r="H24" s="32"/>
      <c r="I24" s="32"/>
      <c r="J24" s="32"/>
      <c r="K24" s="32"/>
      <c r="L24" s="32"/>
      <c r="M24" s="32"/>
      <c r="N24" s="32"/>
      <c r="O24" s="32"/>
      <c r="P24" s="49">
        <f t="shared" si="0"/>
        <v>0</v>
      </c>
      <c r="Q24" s="49">
        <f t="shared" si="1"/>
        <v>0</v>
      </c>
      <c r="R24" s="49">
        <f t="shared" si="2"/>
        <v>0</v>
      </c>
      <c r="S24" s="49">
        <f t="shared" si="3"/>
        <v>0</v>
      </c>
      <c r="T24" s="49"/>
      <c r="U24" s="15"/>
      <c r="V24" s="15"/>
      <c r="W24" s="15"/>
    </row>
    <row r="25" spans="1:23" ht="15" customHeight="1" x14ac:dyDescent="0.3">
      <c r="A25" s="49">
        <v>20</v>
      </c>
      <c r="B25" s="49"/>
      <c r="C25" s="49"/>
      <c r="D25" s="49"/>
      <c r="E25" s="49"/>
      <c r="F25" s="32"/>
      <c r="G25" s="32"/>
      <c r="H25" s="32"/>
      <c r="I25" s="32"/>
      <c r="J25" s="32"/>
      <c r="K25" s="32"/>
      <c r="L25" s="32"/>
      <c r="M25" s="32"/>
      <c r="N25" s="32"/>
      <c r="O25" s="32"/>
      <c r="P25" s="49">
        <f t="shared" si="0"/>
        <v>0</v>
      </c>
      <c r="Q25" s="49">
        <f t="shared" si="1"/>
        <v>0</v>
      </c>
      <c r="R25" s="49">
        <f t="shared" si="2"/>
        <v>0</v>
      </c>
      <c r="S25" s="49">
        <f t="shared" si="3"/>
        <v>0</v>
      </c>
      <c r="T25" s="49"/>
      <c r="U25" s="15"/>
      <c r="V25" s="15"/>
      <c r="W25" s="15"/>
    </row>
    <row r="26" spans="1:23" ht="15" customHeight="1" x14ac:dyDescent="0.3">
      <c r="A26" s="49">
        <v>21</v>
      </c>
      <c r="B26" s="49"/>
      <c r="C26" s="49"/>
      <c r="D26" s="49"/>
      <c r="E26" s="49"/>
      <c r="F26" s="32"/>
      <c r="G26" s="32"/>
      <c r="H26" s="32"/>
      <c r="I26" s="32"/>
      <c r="J26" s="32"/>
      <c r="K26" s="32"/>
      <c r="L26" s="32"/>
      <c r="M26" s="32"/>
      <c r="N26" s="32"/>
      <c r="O26" s="32"/>
      <c r="P26" s="49">
        <f t="shared" si="0"/>
        <v>0</v>
      </c>
      <c r="Q26" s="49">
        <f t="shared" si="1"/>
        <v>0</v>
      </c>
      <c r="R26" s="49">
        <f t="shared" si="2"/>
        <v>0</v>
      </c>
      <c r="S26" s="49">
        <f t="shared" si="3"/>
        <v>0</v>
      </c>
      <c r="T26" s="49"/>
      <c r="U26" s="15"/>
      <c r="V26" s="15"/>
      <c r="W26" s="15"/>
    </row>
    <row r="27" spans="1:23" ht="15" customHeight="1" x14ac:dyDescent="0.3">
      <c r="A27" s="49">
        <v>22</v>
      </c>
      <c r="B27" s="49"/>
      <c r="C27" s="49"/>
      <c r="D27" s="49"/>
      <c r="E27" s="49"/>
      <c r="F27" s="32"/>
      <c r="G27" s="32"/>
      <c r="H27" s="32"/>
      <c r="I27" s="32"/>
      <c r="J27" s="32"/>
      <c r="K27" s="32"/>
      <c r="L27" s="32"/>
      <c r="M27" s="32"/>
      <c r="N27" s="32"/>
      <c r="O27" s="32"/>
      <c r="P27" s="49">
        <f t="shared" si="0"/>
        <v>0</v>
      </c>
      <c r="Q27" s="49">
        <f t="shared" si="1"/>
        <v>0</v>
      </c>
      <c r="R27" s="49">
        <f t="shared" si="2"/>
        <v>0</v>
      </c>
      <c r="S27" s="49">
        <f t="shared" si="3"/>
        <v>0</v>
      </c>
      <c r="T27" s="49"/>
      <c r="U27" s="15"/>
      <c r="V27" s="15"/>
      <c r="W27" s="15"/>
    </row>
    <row r="28" spans="1:23" ht="15" customHeight="1" x14ac:dyDescent="0.3">
      <c r="A28" s="49">
        <v>23</v>
      </c>
      <c r="B28" s="49"/>
      <c r="C28" s="49"/>
      <c r="D28" s="49"/>
      <c r="E28" s="49"/>
      <c r="F28" s="32"/>
      <c r="G28" s="32"/>
      <c r="H28" s="32"/>
      <c r="I28" s="32"/>
      <c r="J28" s="32"/>
      <c r="K28" s="32"/>
      <c r="L28" s="32"/>
      <c r="M28" s="32"/>
      <c r="N28" s="32"/>
      <c r="O28" s="32"/>
      <c r="P28" s="49">
        <f t="shared" si="0"/>
        <v>0</v>
      </c>
      <c r="Q28" s="49">
        <f t="shared" si="1"/>
        <v>0</v>
      </c>
      <c r="R28" s="49">
        <f t="shared" si="2"/>
        <v>0</v>
      </c>
      <c r="S28" s="49">
        <f t="shared" si="3"/>
        <v>0</v>
      </c>
      <c r="T28" s="49"/>
      <c r="U28" s="15"/>
      <c r="V28" s="15"/>
      <c r="W28" s="15"/>
    </row>
    <row r="29" spans="1:23" ht="15" customHeight="1" x14ac:dyDescent="0.3">
      <c r="A29" s="49">
        <v>24</v>
      </c>
      <c r="B29" s="49"/>
      <c r="C29" s="49"/>
      <c r="D29" s="49"/>
      <c r="E29" s="49"/>
      <c r="F29" s="32"/>
      <c r="G29" s="32"/>
      <c r="H29" s="32"/>
      <c r="I29" s="32"/>
      <c r="J29" s="32"/>
      <c r="K29" s="32"/>
      <c r="L29" s="32"/>
      <c r="M29" s="32"/>
      <c r="N29" s="32"/>
      <c r="O29" s="32"/>
      <c r="P29" s="49">
        <f t="shared" si="0"/>
        <v>0</v>
      </c>
      <c r="Q29" s="49">
        <f t="shared" si="1"/>
        <v>0</v>
      </c>
      <c r="R29" s="49">
        <f t="shared" si="2"/>
        <v>0</v>
      </c>
      <c r="S29" s="49">
        <f t="shared" si="3"/>
        <v>0</v>
      </c>
      <c r="T29" s="49"/>
      <c r="U29" s="15"/>
      <c r="V29" s="15"/>
      <c r="W29" s="15"/>
    </row>
    <row r="30" spans="1:23" ht="15" customHeight="1" x14ac:dyDescent="0.3">
      <c r="A30" s="49">
        <v>25</v>
      </c>
      <c r="B30" s="49"/>
      <c r="C30" s="49"/>
      <c r="D30" s="49"/>
      <c r="E30" s="49"/>
      <c r="F30" s="32"/>
      <c r="G30" s="32"/>
      <c r="H30" s="32"/>
      <c r="I30" s="32"/>
      <c r="J30" s="32"/>
      <c r="K30" s="32"/>
      <c r="L30" s="32"/>
      <c r="M30" s="32"/>
      <c r="N30" s="32"/>
      <c r="O30" s="32"/>
      <c r="P30" s="49">
        <f t="shared" si="0"/>
        <v>0</v>
      </c>
      <c r="Q30" s="49">
        <f t="shared" si="1"/>
        <v>0</v>
      </c>
      <c r="R30" s="49">
        <f t="shared" si="2"/>
        <v>0</v>
      </c>
      <c r="S30" s="49">
        <f t="shared" si="3"/>
        <v>0</v>
      </c>
      <c r="T30" s="49"/>
      <c r="U30" s="15"/>
      <c r="V30" s="15"/>
      <c r="W30" s="15"/>
    </row>
    <row r="31" spans="1:23" ht="15" customHeight="1" x14ac:dyDescent="0.3">
      <c r="A31" s="15"/>
      <c r="B31" s="15"/>
      <c r="C31" s="15"/>
      <c r="D31" s="15"/>
      <c r="E31" s="15"/>
      <c r="F31" s="15"/>
      <c r="G31" s="15"/>
      <c r="H31" s="15"/>
      <c r="I31" s="15"/>
      <c r="J31" s="15"/>
      <c r="K31" s="15"/>
      <c r="L31" s="15"/>
      <c r="M31" s="15"/>
      <c r="N31" s="15"/>
      <c r="O31" s="15"/>
      <c r="P31" s="15"/>
      <c r="Q31" s="15"/>
      <c r="R31" s="15"/>
      <c r="S31" s="15"/>
      <c r="T31" s="15"/>
      <c r="U31" s="15"/>
      <c r="V31" s="15"/>
      <c r="W31" s="15"/>
    </row>
    <row r="32" spans="1:23" ht="15" customHeight="1" x14ac:dyDescent="0.3">
      <c r="A32" s="15"/>
      <c r="B32" s="15"/>
      <c r="C32" s="15"/>
      <c r="D32" s="15"/>
      <c r="E32" s="33" t="s">
        <v>1012</v>
      </c>
      <c r="F32" s="15"/>
      <c r="G32" s="15"/>
      <c r="H32" s="15"/>
      <c r="I32" s="15"/>
      <c r="J32" s="15"/>
      <c r="K32" s="15"/>
      <c r="L32" s="15"/>
      <c r="M32" s="15"/>
      <c r="N32" s="15"/>
      <c r="O32" s="15"/>
      <c r="P32" s="15"/>
      <c r="Q32" s="15"/>
      <c r="R32" s="15"/>
      <c r="S32" s="15"/>
      <c r="T32" s="15"/>
      <c r="U32" s="15"/>
      <c r="V32" s="15"/>
      <c r="W32" s="15"/>
    </row>
    <row r="33" spans="1:23" ht="15" customHeight="1" x14ac:dyDescent="0.3">
      <c r="A33" s="15"/>
      <c r="B33" s="15"/>
      <c r="C33" s="15"/>
      <c r="D33" s="15"/>
      <c r="E33" s="61" t="s">
        <v>1013</v>
      </c>
      <c r="F33" s="49">
        <f t="shared" ref="F33:O33" si="4">COUNTIF(F6:F30,"V")</f>
        <v>0</v>
      </c>
      <c r="G33" s="49">
        <f t="shared" si="4"/>
        <v>0</v>
      </c>
      <c r="H33" s="49">
        <f t="shared" si="4"/>
        <v>0</v>
      </c>
      <c r="I33" s="49">
        <f t="shared" si="4"/>
        <v>0</v>
      </c>
      <c r="J33" s="49">
        <f t="shared" si="4"/>
        <v>0</v>
      </c>
      <c r="K33" s="49">
        <f t="shared" si="4"/>
        <v>0</v>
      </c>
      <c r="L33" s="49">
        <f t="shared" si="4"/>
        <v>0</v>
      </c>
      <c r="M33" s="49">
        <f t="shared" si="4"/>
        <v>0</v>
      </c>
      <c r="N33" s="49">
        <f t="shared" si="4"/>
        <v>0</v>
      </c>
      <c r="O33" s="49">
        <f t="shared" si="4"/>
        <v>0</v>
      </c>
      <c r="P33" s="15"/>
      <c r="Q33" s="15"/>
      <c r="R33" s="15"/>
      <c r="S33" s="15"/>
      <c r="T33" s="15"/>
      <c r="U33" s="15"/>
      <c r="V33" s="15"/>
      <c r="W33" s="15"/>
    </row>
    <row r="34" spans="1:23" ht="15" customHeight="1" x14ac:dyDescent="0.3">
      <c r="A34" s="15"/>
      <c r="B34" s="15"/>
      <c r="C34" s="15"/>
      <c r="D34" s="15"/>
      <c r="E34" s="61" t="s">
        <v>1014</v>
      </c>
      <c r="F34" s="49">
        <f t="shared" ref="F34:O34" si="5">COUNTIF(F6:F30,"H")</f>
        <v>0</v>
      </c>
      <c r="G34" s="49">
        <f t="shared" si="5"/>
        <v>0</v>
      </c>
      <c r="H34" s="49">
        <f t="shared" si="5"/>
        <v>0</v>
      </c>
      <c r="I34" s="49">
        <f t="shared" si="5"/>
        <v>0</v>
      </c>
      <c r="J34" s="49">
        <f t="shared" si="5"/>
        <v>0</v>
      </c>
      <c r="K34" s="49">
        <f t="shared" si="5"/>
        <v>0</v>
      </c>
      <c r="L34" s="49">
        <f t="shared" si="5"/>
        <v>0</v>
      </c>
      <c r="M34" s="49">
        <f t="shared" si="5"/>
        <v>0</v>
      </c>
      <c r="N34" s="49">
        <f t="shared" si="5"/>
        <v>0</v>
      </c>
      <c r="O34" s="49">
        <f t="shared" si="5"/>
        <v>0</v>
      </c>
      <c r="P34" s="15"/>
      <c r="Q34" s="15"/>
      <c r="R34" s="15"/>
      <c r="S34" s="15"/>
      <c r="T34" s="15"/>
      <c r="U34" s="15"/>
      <c r="V34" s="15"/>
      <c r="W34" s="15"/>
    </row>
    <row r="35" spans="1:23" ht="15" customHeight="1" x14ac:dyDescent="0.3">
      <c r="A35" s="15"/>
      <c r="B35" s="15"/>
      <c r="C35" s="15"/>
      <c r="D35" s="15"/>
      <c r="E35" s="61" t="s">
        <v>1015</v>
      </c>
      <c r="F35" s="49">
        <f t="shared" ref="F35:O35" si="6">COUNTIF(F6:F30,"I")</f>
        <v>0</v>
      </c>
      <c r="G35" s="49">
        <f t="shared" si="6"/>
        <v>0</v>
      </c>
      <c r="H35" s="49">
        <f t="shared" si="6"/>
        <v>0</v>
      </c>
      <c r="I35" s="49">
        <f t="shared" si="6"/>
        <v>0</v>
      </c>
      <c r="J35" s="49">
        <f t="shared" si="6"/>
        <v>0</v>
      </c>
      <c r="K35" s="49">
        <f t="shared" si="6"/>
        <v>0</v>
      </c>
      <c r="L35" s="49">
        <f t="shared" si="6"/>
        <v>0</v>
      </c>
      <c r="M35" s="49">
        <f t="shared" si="6"/>
        <v>0</v>
      </c>
      <c r="N35" s="49">
        <f t="shared" si="6"/>
        <v>0</v>
      </c>
      <c r="O35" s="49">
        <f t="shared" si="6"/>
        <v>0</v>
      </c>
      <c r="P35" s="15"/>
      <c r="Q35" s="15"/>
      <c r="R35" s="15"/>
      <c r="S35" s="15"/>
      <c r="T35" s="15"/>
      <c r="U35" s="15"/>
      <c r="V35" s="15"/>
      <c r="W35" s="15"/>
    </row>
    <row r="36" spans="1:23" ht="15" customHeight="1" x14ac:dyDescent="0.3">
      <c r="A36" s="15"/>
      <c r="B36" s="15"/>
      <c r="C36" s="15"/>
      <c r="D36" s="15"/>
      <c r="E36" s="61" t="s">
        <v>1016</v>
      </c>
      <c r="F36" s="49">
        <f t="shared" ref="F36:O36" si="7">COUNTIF(F6:F30,"X")</f>
        <v>0</v>
      </c>
      <c r="G36" s="49">
        <f t="shared" si="7"/>
        <v>0</v>
      </c>
      <c r="H36" s="49">
        <f t="shared" si="7"/>
        <v>0</v>
      </c>
      <c r="I36" s="49">
        <f t="shared" si="7"/>
        <v>0</v>
      </c>
      <c r="J36" s="49">
        <f t="shared" si="7"/>
        <v>0</v>
      </c>
      <c r="K36" s="49">
        <f t="shared" si="7"/>
        <v>0</v>
      </c>
      <c r="L36" s="49">
        <f t="shared" si="7"/>
        <v>0</v>
      </c>
      <c r="M36" s="49">
        <f t="shared" si="7"/>
        <v>0</v>
      </c>
      <c r="N36" s="49">
        <f t="shared" si="7"/>
        <v>0</v>
      </c>
      <c r="O36" s="49">
        <f t="shared" si="7"/>
        <v>0</v>
      </c>
      <c r="P36" s="15"/>
      <c r="Q36" s="15"/>
      <c r="R36" s="15"/>
      <c r="S36" s="15"/>
      <c r="T36" s="15"/>
      <c r="U36" s="15"/>
      <c r="V36" s="15"/>
      <c r="W36" s="15"/>
    </row>
    <row r="37" spans="1:23" ht="15" customHeight="1" x14ac:dyDescent="0.3">
      <c r="A37" s="15"/>
      <c r="B37" s="15"/>
      <c r="C37" s="15"/>
      <c r="D37" s="15"/>
      <c r="E37" s="15"/>
      <c r="F37" s="15"/>
      <c r="G37" s="15"/>
      <c r="H37" s="15"/>
      <c r="I37" s="15"/>
      <c r="J37" s="15"/>
      <c r="K37" s="15"/>
      <c r="L37" s="15"/>
      <c r="M37" s="15"/>
      <c r="N37" s="15"/>
      <c r="O37" s="15"/>
      <c r="P37" s="15"/>
      <c r="Q37" s="15"/>
      <c r="R37" s="15"/>
      <c r="S37" s="15"/>
      <c r="T37" s="15"/>
      <c r="U37" s="15"/>
      <c r="V37" s="15"/>
      <c r="W37" s="15"/>
    </row>
    <row r="38" spans="1:23" ht="15" customHeight="1" x14ac:dyDescent="0.3">
      <c r="A38" s="15"/>
      <c r="B38" s="15"/>
      <c r="C38" s="15"/>
      <c r="D38" s="15"/>
      <c r="E38" s="15"/>
      <c r="F38" s="15"/>
      <c r="G38" s="15"/>
      <c r="H38" s="15"/>
      <c r="I38" s="15"/>
      <c r="J38" s="15"/>
      <c r="K38" s="15"/>
      <c r="L38" s="15"/>
      <c r="M38" s="15"/>
      <c r="N38" s="15"/>
      <c r="O38" s="15"/>
      <c r="P38" s="15"/>
      <c r="Q38" s="15"/>
      <c r="R38" s="15"/>
      <c r="S38" s="15"/>
      <c r="T38" s="15"/>
      <c r="U38" s="15"/>
      <c r="V38" s="15"/>
      <c r="W38" s="15"/>
    </row>
    <row r="39" spans="1:23" ht="15" customHeight="1" x14ac:dyDescent="0.3">
      <c r="A39" s="62" t="s">
        <v>1017</v>
      </c>
      <c r="B39" s="15"/>
      <c r="C39" s="15"/>
      <c r="D39" s="15"/>
      <c r="E39" s="15"/>
      <c r="F39" s="15"/>
      <c r="G39" s="15"/>
      <c r="H39" s="15"/>
      <c r="I39" s="15"/>
      <c r="J39" s="15"/>
      <c r="K39" s="15"/>
      <c r="L39" s="15"/>
      <c r="M39" s="15"/>
      <c r="N39" s="15"/>
      <c r="O39" s="15"/>
      <c r="P39" s="15"/>
      <c r="Q39" s="15"/>
      <c r="R39" s="15"/>
      <c r="S39" s="15"/>
      <c r="T39" s="15"/>
      <c r="U39" s="15"/>
      <c r="V39" s="15"/>
      <c r="W39" s="15"/>
    </row>
    <row r="40" spans="1:23" ht="15" customHeight="1" x14ac:dyDescent="0.3">
      <c r="A40" s="3" t="s">
        <v>1018</v>
      </c>
      <c r="B40" s="3"/>
      <c r="C40" s="3"/>
      <c r="D40" s="3"/>
      <c r="E40" s="3"/>
      <c r="F40" s="3"/>
      <c r="G40" s="3"/>
      <c r="H40" s="3"/>
      <c r="I40" s="3"/>
      <c r="J40" s="3"/>
      <c r="K40" s="3"/>
      <c r="L40" s="3"/>
      <c r="M40" s="3"/>
      <c r="N40" s="3"/>
      <c r="O40" s="3"/>
      <c r="P40" s="15"/>
      <c r="Q40" s="15"/>
      <c r="R40" s="15"/>
      <c r="S40" s="15"/>
      <c r="T40" s="15"/>
      <c r="U40" s="15"/>
      <c r="V40" s="15"/>
      <c r="W40" s="15"/>
    </row>
    <row r="41" spans="1:23" ht="15" customHeight="1" x14ac:dyDescent="0.3">
      <c r="A41" s="3" t="s">
        <v>1019</v>
      </c>
      <c r="B41" s="3"/>
      <c r="C41" s="3"/>
      <c r="D41" s="3"/>
      <c r="E41" s="3"/>
      <c r="F41" s="3"/>
      <c r="G41" s="3"/>
      <c r="H41" s="3"/>
      <c r="I41" s="3"/>
      <c r="J41" s="3"/>
      <c r="K41" s="3"/>
      <c r="L41" s="3"/>
      <c r="M41" s="3"/>
      <c r="N41" s="3"/>
      <c r="O41" s="3"/>
      <c r="P41" s="15"/>
      <c r="Q41" s="15"/>
      <c r="R41" s="15"/>
      <c r="S41" s="15"/>
      <c r="T41" s="15"/>
      <c r="U41" s="15"/>
      <c r="V41" s="15"/>
      <c r="W41" s="15"/>
    </row>
    <row r="42" spans="1:23" ht="15" customHeight="1" x14ac:dyDescent="0.3">
      <c r="A42" s="3" t="s">
        <v>1020</v>
      </c>
      <c r="B42" s="3"/>
      <c r="C42" s="3"/>
      <c r="D42" s="3"/>
      <c r="E42" s="3"/>
      <c r="F42" s="3"/>
      <c r="G42" s="3"/>
      <c r="H42" s="3"/>
      <c r="I42" s="3"/>
      <c r="J42" s="3"/>
      <c r="K42" s="3"/>
      <c r="L42" s="3"/>
      <c r="M42" s="3"/>
      <c r="N42" s="3"/>
      <c r="O42" s="3"/>
      <c r="P42" s="15"/>
      <c r="Q42" s="15"/>
      <c r="R42" s="15"/>
      <c r="S42" s="15"/>
      <c r="T42" s="15"/>
      <c r="U42" s="15"/>
      <c r="V42" s="15"/>
      <c r="W42" s="15"/>
    </row>
    <row r="43" spans="1:23" ht="15" customHeight="1" x14ac:dyDescent="0.3">
      <c r="A43" s="3" t="s">
        <v>1021</v>
      </c>
      <c r="B43" s="3"/>
      <c r="C43" s="3"/>
      <c r="D43" s="3"/>
      <c r="E43" s="3"/>
      <c r="F43" s="3"/>
      <c r="G43" s="3"/>
      <c r="H43" s="3"/>
      <c r="I43" s="3"/>
      <c r="J43" s="3"/>
      <c r="K43" s="3"/>
      <c r="L43" s="3"/>
      <c r="M43" s="3"/>
      <c r="N43" s="3"/>
      <c r="O43" s="3"/>
      <c r="P43" s="15"/>
      <c r="Q43" s="15"/>
      <c r="R43" s="15"/>
      <c r="S43" s="15"/>
      <c r="T43" s="15"/>
      <c r="U43" s="15"/>
      <c r="V43" s="15"/>
      <c r="W43" s="15"/>
    </row>
    <row r="44" spans="1:23" ht="15" customHeight="1" x14ac:dyDescent="0.3">
      <c r="A44" s="3" t="s">
        <v>1022</v>
      </c>
      <c r="B44" s="3"/>
      <c r="C44" s="3"/>
      <c r="D44" s="3"/>
      <c r="E44" s="3"/>
      <c r="F44" s="3"/>
      <c r="G44" s="3"/>
      <c r="H44" s="3"/>
      <c r="I44" s="3"/>
      <c r="J44" s="3"/>
      <c r="K44" s="3"/>
      <c r="L44" s="3"/>
      <c r="M44" s="3"/>
      <c r="N44" s="3"/>
      <c r="O44" s="3"/>
      <c r="P44" s="15"/>
      <c r="Q44" s="15"/>
      <c r="R44" s="15"/>
      <c r="S44" s="15"/>
      <c r="T44" s="15"/>
      <c r="U44" s="15"/>
      <c r="V44" s="15"/>
      <c r="W44" s="15"/>
    </row>
    <row r="45" spans="1:23" ht="15" customHeight="1" x14ac:dyDescent="0.3">
      <c r="A45" s="3" t="s">
        <v>1023</v>
      </c>
      <c r="B45" s="3"/>
      <c r="C45" s="3"/>
      <c r="D45" s="3"/>
      <c r="E45" s="3"/>
      <c r="F45" s="3"/>
      <c r="G45" s="3"/>
      <c r="H45" s="3"/>
      <c r="I45" s="3"/>
      <c r="J45" s="3"/>
      <c r="K45" s="3"/>
      <c r="L45" s="3"/>
      <c r="M45" s="3"/>
      <c r="N45" s="3"/>
      <c r="O45" s="3"/>
      <c r="P45" s="15"/>
      <c r="Q45" s="15"/>
      <c r="R45" s="15"/>
      <c r="S45" s="15"/>
      <c r="T45" s="15"/>
      <c r="U45" s="15"/>
      <c r="V45" s="15"/>
      <c r="W45" s="15"/>
    </row>
    <row r="46" spans="1:23" ht="15" customHeight="1" x14ac:dyDescent="0.3">
      <c r="A46" s="3" t="s">
        <v>1024</v>
      </c>
      <c r="B46" s="3"/>
      <c r="C46" s="3"/>
      <c r="D46" s="3"/>
      <c r="E46" s="3"/>
      <c r="F46" s="3"/>
      <c r="G46" s="3"/>
      <c r="H46" s="3"/>
      <c r="I46" s="3"/>
      <c r="J46" s="3"/>
      <c r="K46" s="3"/>
      <c r="L46" s="3"/>
      <c r="M46" s="3"/>
      <c r="N46" s="3"/>
      <c r="O46" s="3"/>
      <c r="P46" s="15"/>
      <c r="Q46" s="15"/>
      <c r="R46" s="15"/>
      <c r="S46" s="15"/>
      <c r="T46" s="15"/>
      <c r="U46" s="15"/>
      <c r="V46" s="15"/>
      <c r="W46" s="15"/>
    </row>
  </sheetData>
  <mergeCells count="7">
    <mergeCell ref="A45:O45"/>
    <mergeCell ref="A46:O46"/>
    <mergeCell ref="A40:O40"/>
    <mergeCell ref="A41:O41"/>
    <mergeCell ref="A42:O42"/>
    <mergeCell ref="A43:O43"/>
    <mergeCell ref="A44:O44"/>
  </mergeCells>
  <dataValidations count="1">
    <dataValidation type="list" allowBlank="1" sqref="F6:O30" xr:uid="{00000000-0002-0000-0C00-000000000000}">
      <formula1>"I,H,V,X"</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K47"/>
  <sheetViews>
    <sheetView showGridLines="0" zoomScaleNormal="100" workbookViewId="0">
      <pane ySplit="5" topLeftCell="A6" activePane="bottomLeft" state="frozen"/>
      <selection pane="bottomLeft"/>
    </sheetView>
  </sheetViews>
  <sheetFormatPr defaultColWidth="8.6328125" defaultRowHeight="14.5" x14ac:dyDescent="0.35"/>
  <cols>
    <col min="1" max="1" width="11" style="14" customWidth="1"/>
    <col min="2" max="2" width="16" style="14" customWidth="1"/>
    <col min="3" max="3" width="18" style="14" customWidth="1"/>
    <col min="4" max="4" width="34" style="14" customWidth="1"/>
    <col min="5" max="5" width="14" style="14" customWidth="1"/>
    <col min="6" max="6" width="10" style="14" customWidth="1"/>
    <col min="7" max="7" width="22" style="14" customWidth="1"/>
    <col min="8" max="8" width="24" style="14" customWidth="1"/>
    <col min="10" max="11" width="20" style="14" customWidth="1"/>
  </cols>
  <sheetData>
    <row r="1" spans="1:11" ht="17.25" customHeight="1" x14ac:dyDescent="0.35">
      <c r="A1" s="59" t="s">
        <v>1025</v>
      </c>
      <c r="B1" s="15"/>
      <c r="C1" s="15"/>
      <c r="D1" s="15"/>
      <c r="E1" s="15"/>
      <c r="F1" s="15"/>
      <c r="G1" s="15"/>
      <c r="H1" s="15"/>
      <c r="I1" s="15"/>
      <c r="J1" s="27" t="str">
        <f>HYPERLINK("#TRANGCHU!A1","⬅ Về Trang chủ")</f>
        <v>⬅ Về Trang chủ</v>
      </c>
      <c r="K1" s="27" t="str">
        <f>HYPERLINK("#HUONGDAN!A1","📖 Về Hướng dẫn")</f>
        <v>📖 Về Hướng dẫn</v>
      </c>
    </row>
    <row r="2" spans="1:11" ht="15" customHeight="1" x14ac:dyDescent="0.3">
      <c r="A2" s="28" t="s">
        <v>1026</v>
      </c>
      <c r="B2" s="15"/>
      <c r="C2" s="15"/>
      <c r="D2" s="15"/>
      <c r="E2" s="15"/>
      <c r="F2" s="15"/>
      <c r="G2" s="15"/>
      <c r="H2" s="15"/>
      <c r="I2" s="15"/>
      <c r="J2" s="15"/>
      <c r="K2" s="15"/>
    </row>
    <row r="3" spans="1:11" ht="15" customHeight="1" x14ac:dyDescent="0.3">
      <c r="A3" s="44" t="s">
        <v>1027</v>
      </c>
      <c r="B3" s="15"/>
      <c r="C3" s="15"/>
      <c r="D3" s="15"/>
      <c r="E3" s="15"/>
      <c r="F3" s="15"/>
      <c r="G3" s="15"/>
      <c r="H3" s="15"/>
      <c r="I3" s="15"/>
      <c r="J3" s="15"/>
      <c r="K3" s="15"/>
    </row>
    <row r="4" spans="1:11" ht="15" customHeight="1" x14ac:dyDescent="0.3">
      <c r="A4" s="15"/>
      <c r="B4" s="15"/>
      <c r="C4" s="15"/>
      <c r="D4" s="15"/>
      <c r="E4" s="15"/>
      <c r="F4" s="15"/>
      <c r="G4" s="15"/>
      <c r="H4" s="15"/>
      <c r="I4" s="15"/>
      <c r="J4" s="15"/>
      <c r="K4" s="15"/>
    </row>
    <row r="5" spans="1:11" ht="23.25" customHeight="1" x14ac:dyDescent="0.3">
      <c r="A5" s="60" t="s">
        <v>1028</v>
      </c>
      <c r="B5" s="60" t="s">
        <v>1029</v>
      </c>
      <c r="C5" s="60" t="s">
        <v>1030</v>
      </c>
      <c r="D5" s="60" t="s">
        <v>1031</v>
      </c>
      <c r="E5" s="60" t="s">
        <v>1032</v>
      </c>
      <c r="F5" s="60" t="s">
        <v>1033</v>
      </c>
      <c r="G5" s="60" t="s">
        <v>1034</v>
      </c>
      <c r="H5" s="60" t="s">
        <v>1035</v>
      </c>
      <c r="I5" s="15"/>
      <c r="J5" s="15"/>
      <c r="K5" s="15"/>
    </row>
    <row r="6" spans="1:11" ht="54.75" customHeight="1" x14ac:dyDescent="0.3">
      <c r="A6" s="56" t="s">
        <v>1036</v>
      </c>
      <c r="B6" s="56" t="s">
        <v>1037</v>
      </c>
      <c r="C6" s="56" t="s">
        <v>1038</v>
      </c>
      <c r="D6" s="56" t="s">
        <v>1039</v>
      </c>
      <c r="E6" s="56" t="s">
        <v>1040</v>
      </c>
      <c r="F6" s="56" t="s">
        <v>101</v>
      </c>
      <c r="G6" s="56" t="s">
        <v>1041</v>
      </c>
      <c r="H6" s="56" t="s">
        <v>1042</v>
      </c>
      <c r="I6" s="15"/>
      <c r="J6" s="15"/>
      <c r="K6" s="15"/>
    </row>
    <row r="7" spans="1:11" ht="54.75" customHeight="1" x14ac:dyDescent="0.3">
      <c r="A7" s="63" t="s">
        <v>164</v>
      </c>
      <c r="B7" s="63" t="s">
        <v>164</v>
      </c>
      <c r="C7" s="63" t="s">
        <v>164</v>
      </c>
      <c r="D7" s="63" t="s">
        <v>1043</v>
      </c>
      <c r="E7" s="63" t="s">
        <v>164</v>
      </c>
      <c r="F7" s="63" t="s">
        <v>164</v>
      </c>
      <c r="G7" s="63" t="s">
        <v>164</v>
      </c>
      <c r="H7" s="63" t="s">
        <v>164</v>
      </c>
      <c r="I7" s="15"/>
      <c r="J7" s="15"/>
      <c r="K7" s="15"/>
    </row>
    <row r="8" spans="1:11" ht="15" customHeight="1" x14ac:dyDescent="0.3">
      <c r="A8" s="49"/>
      <c r="B8" s="49"/>
      <c r="C8" s="49"/>
      <c r="D8" s="49"/>
      <c r="E8" s="49"/>
      <c r="F8" s="49"/>
      <c r="G8" s="49"/>
      <c r="H8" s="49"/>
      <c r="I8" s="15"/>
      <c r="J8" s="15"/>
      <c r="K8" s="15"/>
    </row>
    <row r="9" spans="1:11" ht="15" customHeight="1" x14ac:dyDescent="0.3">
      <c r="A9" s="49"/>
      <c r="B9" s="49"/>
      <c r="C9" s="49"/>
      <c r="D9" s="49"/>
      <c r="E9" s="49"/>
      <c r="F9" s="49"/>
      <c r="G9" s="49"/>
      <c r="H9" s="49"/>
      <c r="I9" s="15"/>
      <c r="J9" s="15"/>
      <c r="K9" s="15"/>
    </row>
    <row r="10" spans="1:11" ht="15" customHeight="1" x14ac:dyDescent="0.3">
      <c r="A10" s="49"/>
      <c r="B10" s="49"/>
      <c r="C10" s="49"/>
      <c r="D10" s="49"/>
      <c r="E10" s="49"/>
      <c r="F10" s="49"/>
      <c r="G10" s="49"/>
      <c r="H10" s="49"/>
      <c r="I10" s="15"/>
      <c r="J10" s="15"/>
      <c r="K10" s="15"/>
    </row>
    <row r="11" spans="1:11" ht="15" customHeight="1" x14ac:dyDescent="0.3">
      <c r="A11" s="49"/>
      <c r="B11" s="49"/>
      <c r="C11" s="49"/>
      <c r="D11" s="49"/>
      <c r="E11" s="49"/>
      <c r="F11" s="49"/>
      <c r="G11" s="49"/>
      <c r="H11" s="49"/>
      <c r="I11" s="15"/>
      <c r="J11" s="15"/>
      <c r="K11" s="15"/>
    </row>
    <row r="12" spans="1:11" ht="15" customHeight="1" x14ac:dyDescent="0.3">
      <c r="A12" s="49"/>
      <c r="B12" s="49"/>
      <c r="C12" s="49"/>
      <c r="D12" s="49"/>
      <c r="E12" s="49"/>
      <c r="F12" s="49"/>
      <c r="G12" s="49"/>
      <c r="H12" s="49"/>
      <c r="I12" s="15"/>
      <c r="J12" s="15"/>
      <c r="K12" s="15"/>
    </row>
    <row r="13" spans="1:11" ht="15" customHeight="1" x14ac:dyDescent="0.3">
      <c r="A13" s="49"/>
      <c r="B13" s="49"/>
      <c r="C13" s="49"/>
      <c r="D13" s="49"/>
      <c r="E13" s="49"/>
      <c r="F13" s="49"/>
      <c r="G13" s="49"/>
      <c r="H13" s="49"/>
      <c r="I13" s="15"/>
      <c r="J13" s="15"/>
      <c r="K13" s="15"/>
    </row>
    <row r="14" spans="1:11" ht="15" customHeight="1" x14ac:dyDescent="0.3">
      <c r="A14" s="49"/>
      <c r="B14" s="49"/>
      <c r="C14" s="49"/>
      <c r="D14" s="49"/>
      <c r="E14" s="49"/>
      <c r="F14" s="49"/>
      <c r="G14" s="49"/>
      <c r="H14" s="49"/>
      <c r="I14" s="15"/>
      <c r="J14" s="15"/>
      <c r="K14" s="15"/>
    </row>
    <row r="15" spans="1:11" ht="15" customHeight="1" x14ac:dyDescent="0.3">
      <c r="A15" s="49"/>
      <c r="B15" s="49"/>
      <c r="C15" s="49"/>
      <c r="D15" s="49"/>
      <c r="E15" s="49"/>
      <c r="F15" s="49"/>
      <c r="G15" s="49"/>
      <c r="H15" s="49"/>
      <c r="I15" s="15"/>
      <c r="J15" s="15"/>
      <c r="K15" s="15"/>
    </row>
    <row r="16" spans="1:11" ht="15" customHeight="1" x14ac:dyDescent="0.3">
      <c r="A16" s="49"/>
      <c r="B16" s="49"/>
      <c r="C16" s="49"/>
      <c r="D16" s="49"/>
      <c r="E16" s="49"/>
      <c r="F16" s="49"/>
      <c r="G16" s="49"/>
      <c r="H16" s="49"/>
      <c r="I16" s="15"/>
      <c r="J16" s="15"/>
      <c r="K16" s="15"/>
    </row>
    <row r="17" spans="1:11" ht="15" customHeight="1" x14ac:dyDescent="0.3">
      <c r="A17" s="49"/>
      <c r="B17" s="49"/>
      <c r="C17" s="49"/>
      <c r="D17" s="49"/>
      <c r="E17" s="49"/>
      <c r="F17" s="49"/>
      <c r="G17" s="49"/>
      <c r="H17" s="49"/>
      <c r="I17" s="15"/>
      <c r="J17" s="15"/>
      <c r="K17" s="15"/>
    </row>
    <row r="18" spans="1:11" ht="15" customHeight="1" x14ac:dyDescent="0.3">
      <c r="A18" s="49"/>
      <c r="B18" s="49"/>
      <c r="C18" s="49"/>
      <c r="D18" s="49"/>
      <c r="E18" s="49"/>
      <c r="F18" s="49"/>
      <c r="G18" s="49"/>
      <c r="H18" s="49"/>
      <c r="I18" s="15"/>
      <c r="J18" s="15"/>
      <c r="K18" s="15"/>
    </row>
    <row r="19" spans="1:11" ht="15" customHeight="1" x14ac:dyDescent="0.3">
      <c r="A19" s="49"/>
      <c r="B19" s="49"/>
      <c r="C19" s="49"/>
      <c r="D19" s="49"/>
      <c r="E19" s="49"/>
      <c r="F19" s="49"/>
      <c r="G19" s="49"/>
      <c r="H19" s="49"/>
      <c r="I19" s="15"/>
      <c r="J19" s="15"/>
      <c r="K19" s="15"/>
    </row>
    <row r="20" spans="1:11" ht="15" customHeight="1" x14ac:dyDescent="0.3">
      <c r="A20" s="49"/>
      <c r="B20" s="49"/>
      <c r="C20" s="49"/>
      <c r="D20" s="49"/>
      <c r="E20" s="49"/>
      <c r="F20" s="49"/>
      <c r="G20" s="49"/>
      <c r="H20" s="49"/>
      <c r="I20" s="15"/>
      <c r="J20" s="15"/>
      <c r="K20" s="15"/>
    </row>
    <row r="21" spans="1:11" ht="15" customHeight="1" x14ac:dyDescent="0.3">
      <c r="A21" s="49"/>
      <c r="B21" s="49"/>
      <c r="C21" s="49"/>
      <c r="D21" s="49"/>
      <c r="E21" s="49"/>
      <c r="F21" s="49"/>
      <c r="G21" s="49"/>
      <c r="H21" s="49"/>
      <c r="I21" s="15"/>
      <c r="J21" s="15"/>
      <c r="K21" s="15"/>
    </row>
    <row r="22" spans="1:11" ht="15" customHeight="1" x14ac:dyDescent="0.3">
      <c r="A22" s="49"/>
      <c r="B22" s="49"/>
      <c r="C22" s="49"/>
      <c r="D22" s="49"/>
      <c r="E22" s="49"/>
      <c r="F22" s="49"/>
      <c r="G22" s="49"/>
      <c r="H22" s="49"/>
      <c r="I22" s="15"/>
      <c r="J22" s="15"/>
      <c r="K22" s="15"/>
    </row>
    <row r="23" spans="1:11" ht="15" customHeight="1" x14ac:dyDescent="0.3">
      <c r="A23" s="49"/>
      <c r="B23" s="49"/>
      <c r="C23" s="49"/>
      <c r="D23" s="49"/>
      <c r="E23" s="49"/>
      <c r="F23" s="49"/>
      <c r="G23" s="49"/>
      <c r="H23" s="49"/>
      <c r="I23" s="15"/>
      <c r="J23" s="15"/>
      <c r="K23" s="15"/>
    </row>
    <row r="24" spans="1:11" ht="15" customHeight="1" x14ac:dyDescent="0.3">
      <c r="A24" s="49"/>
      <c r="B24" s="49"/>
      <c r="C24" s="49"/>
      <c r="D24" s="49"/>
      <c r="E24" s="49"/>
      <c r="F24" s="49"/>
      <c r="G24" s="49"/>
      <c r="H24" s="49"/>
      <c r="I24" s="15"/>
      <c r="J24" s="15"/>
      <c r="K24" s="15"/>
    </row>
    <row r="25" spans="1:11" ht="15" customHeight="1" x14ac:dyDescent="0.3">
      <c r="A25" s="49"/>
      <c r="B25" s="49"/>
      <c r="C25" s="49"/>
      <c r="D25" s="49"/>
      <c r="E25" s="49"/>
      <c r="F25" s="49"/>
      <c r="G25" s="49"/>
      <c r="H25" s="49"/>
      <c r="I25" s="15"/>
      <c r="J25" s="15"/>
      <c r="K25" s="15"/>
    </row>
    <row r="26" spans="1:11" ht="15" customHeight="1" x14ac:dyDescent="0.3">
      <c r="A26" s="49"/>
      <c r="B26" s="49"/>
      <c r="C26" s="49"/>
      <c r="D26" s="49"/>
      <c r="E26" s="49"/>
      <c r="F26" s="49"/>
      <c r="G26" s="49"/>
      <c r="H26" s="49"/>
      <c r="I26" s="15"/>
      <c r="J26" s="15"/>
      <c r="K26" s="15"/>
    </row>
    <row r="27" spans="1:11" ht="15" customHeight="1" x14ac:dyDescent="0.3">
      <c r="A27" s="49"/>
      <c r="B27" s="49"/>
      <c r="C27" s="49"/>
      <c r="D27" s="49"/>
      <c r="E27" s="49"/>
      <c r="F27" s="49"/>
      <c r="G27" s="49"/>
      <c r="H27" s="49"/>
      <c r="I27" s="15"/>
      <c r="J27" s="15"/>
      <c r="K27" s="15"/>
    </row>
    <row r="28" spans="1:11" ht="15" customHeight="1" x14ac:dyDescent="0.3">
      <c r="A28" s="49"/>
      <c r="B28" s="49"/>
      <c r="C28" s="49"/>
      <c r="D28" s="49"/>
      <c r="E28" s="49"/>
      <c r="F28" s="49"/>
      <c r="G28" s="49"/>
      <c r="H28" s="49"/>
      <c r="I28" s="15"/>
      <c r="J28" s="15"/>
      <c r="K28" s="15"/>
    </row>
    <row r="29" spans="1:11" ht="15" customHeight="1" x14ac:dyDescent="0.3">
      <c r="A29" s="49"/>
      <c r="B29" s="49"/>
      <c r="C29" s="49"/>
      <c r="D29" s="49"/>
      <c r="E29" s="49"/>
      <c r="F29" s="49"/>
      <c r="G29" s="49"/>
      <c r="H29" s="49"/>
      <c r="I29" s="15"/>
      <c r="J29" s="15"/>
      <c r="K29" s="15"/>
    </row>
    <row r="30" spans="1:11" ht="15" customHeight="1" x14ac:dyDescent="0.3">
      <c r="A30" s="49"/>
      <c r="B30" s="49"/>
      <c r="C30" s="49"/>
      <c r="D30" s="49"/>
      <c r="E30" s="49"/>
      <c r="F30" s="49"/>
      <c r="G30" s="49"/>
      <c r="H30" s="49"/>
      <c r="I30" s="15"/>
      <c r="J30" s="15"/>
      <c r="K30" s="15"/>
    </row>
    <row r="31" spans="1:11" ht="15" customHeight="1" x14ac:dyDescent="0.3">
      <c r="A31" s="49"/>
      <c r="B31" s="49"/>
      <c r="C31" s="49"/>
      <c r="D31" s="49"/>
      <c r="E31" s="49"/>
      <c r="F31" s="49"/>
      <c r="G31" s="49"/>
      <c r="H31" s="49"/>
      <c r="I31" s="15"/>
      <c r="J31" s="15"/>
      <c r="K31" s="15"/>
    </row>
    <row r="32" spans="1:11" ht="15" customHeight="1" x14ac:dyDescent="0.3">
      <c r="A32" s="49"/>
      <c r="B32" s="49"/>
      <c r="C32" s="49"/>
      <c r="D32" s="49"/>
      <c r="E32" s="49"/>
      <c r="F32" s="49"/>
      <c r="G32" s="49"/>
      <c r="H32" s="49"/>
      <c r="I32" s="15"/>
      <c r="J32" s="15"/>
      <c r="K32" s="15"/>
    </row>
    <row r="33" spans="1:11" ht="15" customHeight="1" x14ac:dyDescent="0.3">
      <c r="A33" s="49"/>
      <c r="B33" s="49"/>
      <c r="C33" s="49"/>
      <c r="D33" s="49"/>
      <c r="E33" s="49"/>
      <c r="F33" s="49"/>
      <c r="G33" s="49"/>
      <c r="H33" s="49"/>
      <c r="I33" s="15"/>
      <c r="J33" s="15"/>
      <c r="K33" s="15"/>
    </row>
    <row r="34" spans="1:11" ht="15" customHeight="1" x14ac:dyDescent="0.3">
      <c r="A34" s="49"/>
      <c r="B34" s="49"/>
      <c r="C34" s="49"/>
      <c r="D34" s="49"/>
      <c r="E34" s="49"/>
      <c r="F34" s="49"/>
      <c r="G34" s="49"/>
      <c r="H34" s="49"/>
      <c r="I34" s="15"/>
      <c r="J34" s="15"/>
      <c r="K34" s="15"/>
    </row>
    <row r="35" spans="1:11" ht="15" customHeight="1" x14ac:dyDescent="0.3">
      <c r="A35" s="49"/>
      <c r="B35" s="49"/>
      <c r="C35" s="49"/>
      <c r="D35" s="49"/>
      <c r="E35" s="49"/>
      <c r="F35" s="49"/>
      <c r="G35" s="49"/>
      <c r="H35" s="49"/>
      <c r="I35" s="15"/>
      <c r="J35" s="15"/>
      <c r="K35" s="15"/>
    </row>
    <row r="36" spans="1:11" ht="15" customHeight="1" x14ac:dyDescent="0.3">
      <c r="A36" s="49"/>
      <c r="B36" s="49"/>
      <c r="C36" s="49"/>
      <c r="D36" s="49"/>
      <c r="E36" s="49"/>
      <c r="F36" s="49"/>
      <c r="G36" s="49"/>
      <c r="H36" s="49"/>
      <c r="I36" s="15"/>
      <c r="J36" s="15"/>
      <c r="K36" s="15"/>
    </row>
    <row r="37" spans="1:11" ht="15" customHeight="1" x14ac:dyDescent="0.3">
      <c r="A37" s="49"/>
      <c r="B37" s="49"/>
      <c r="C37" s="49"/>
      <c r="D37" s="49"/>
      <c r="E37" s="49"/>
      <c r="F37" s="49"/>
      <c r="G37" s="49"/>
      <c r="H37" s="49"/>
      <c r="I37" s="15"/>
      <c r="J37" s="15"/>
      <c r="K37" s="15"/>
    </row>
    <row r="38" spans="1:11" ht="15" customHeight="1" x14ac:dyDescent="0.3">
      <c r="A38" s="49"/>
      <c r="B38" s="49"/>
      <c r="C38" s="49"/>
      <c r="D38" s="49"/>
      <c r="E38" s="49"/>
      <c r="F38" s="49"/>
      <c r="G38" s="49"/>
      <c r="H38" s="49"/>
      <c r="I38" s="15"/>
      <c r="J38" s="15"/>
      <c r="K38" s="15"/>
    </row>
    <row r="39" spans="1:11" ht="15" customHeight="1" x14ac:dyDescent="0.3">
      <c r="A39" s="49"/>
      <c r="B39" s="49"/>
      <c r="C39" s="49"/>
      <c r="D39" s="49"/>
      <c r="E39" s="49"/>
      <c r="F39" s="49"/>
      <c r="G39" s="49"/>
      <c r="H39" s="49"/>
      <c r="I39" s="15"/>
      <c r="J39" s="15"/>
      <c r="K39" s="15"/>
    </row>
    <row r="40" spans="1:11" ht="15" customHeight="1" x14ac:dyDescent="0.3">
      <c r="A40" s="49"/>
      <c r="B40" s="49"/>
      <c r="C40" s="49"/>
      <c r="D40" s="49"/>
      <c r="E40" s="49"/>
      <c r="F40" s="49"/>
      <c r="G40" s="49"/>
      <c r="H40" s="49"/>
      <c r="I40" s="15"/>
      <c r="J40" s="15"/>
      <c r="K40" s="15"/>
    </row>
    <row r="41" spans="1:11" ht="15" customHeight="1" x14ac:dyDescent="0.3">
      <c r="A41" s="49"/>
      <c r="B41" s="49"/>
      <c r="C41" s="49"/>
      <c r="D41" s="49"/>
      <c r="E41" s="49"/>
      <c r="F41" s="49"/>
      <c r="G41" s="49"/>
      <c r="H41" s="49"/>
      <c r="I41" s="15"/>
      <c r="J41" s="15"/>
      <c r="K41" s="15"/>
    </row>
    <row r="42" spans="1:11" ht="15" customHeight="1" x14ac:dyDescent="0.3">
      <c r="A42" s="49"/>
      <c r="B42" s="49"/>
      <c r="C42" s="49"/>
      <c r="D42" s="49"/>
      <c r="E42" s="49"/>
      <c r="F42" s="49"/>
      <c r="G42" s="49"/>
      <c r="H42" s="49"/>
      <c r="I42" s="15"/>
      <c r="J42" s="15"/>
      <c r="K42" s="15"/>
    </row>
    <row r="43" spans="1:11" ht="15" customHeight="1" x14ac:dyDescent="0.3">
      <c r="A43" s="49"/>
      <c r="B43" s="49"/>
      <c r="C43" s="49"/>
      <c r="D43" s="49"/>
      <c r="E43" s="49"/>
      <c r="F43" s="49"/>
      <c r="G43" s="49"/>
      <c r="H43" s="49"/>
      <c r="I43" s="15"/>
      <c r="J43" s="15"/>
      <c r="K43" s="15"/>
    </row>
    <row r="44" spans="1:11" ht="15" customHeight="1" x14ac:dyDescent="0.3">
      <c r="A44" s="49"/>
      <c r="B44" s="49"/>
      <c r="C44" s="49"/>
      <c r="D44" s="49"/>
      <c r="E44" s="49"/>
      <c r="F44" s="49"/>
      <c r="G44" s="49"/>
      <c r="H44" s="49"/>
      <c r="I44" s="15"/>
      <c r="J44" s="15"/>
      <c r="K44" s="15"/>
    </row>
    <row r="45" spans="1:11" ht="15" customHeight="1" x14ac:dyDescent="0.3">
      <c r="A45" s="49"/>
      <c r="B45" s="49"/>
      <c r="C45" s="49"/>
      <c r="D45" s="49"/>
      <c r="E45" s="49"/>
      <c r="F45" s="49"/>
      <c r="G45" s="49"/>
      <c r="H45" s="49"/>
      <c r="I45" s="15"/>
      <c r="J45" s="15"/>
      <c r="K45" s="15"/>
    </row>
    <row r="46" spans="1:11" ht="15" customHeight="1" x14ac:dyDescent="0.3">
      <c r="A46" s="49"/>
      <c r="B46" s="49"/>
      <c r="C46" s="49"/>
      <c r="D46" s="49"/>
      <c r="E46" s="49"/>
      <c r="F46" s="49"/>
      <c r="G46" s="49"/>
      <c r="H46" s="49"/>
      <c r="I46" s="15"/>
      <c r="J46" s="15"/>
      <c r="K46" s="15"/>
    </row>
    <row r="47" spans="1:11" ht="15" customHeight="1" x14ac:dyDescent="0.3">
      <c r="A47" s="49"/>
      <c r="B47" s="49"/>
      <c r="C47" s="49"/>
      <c r="D47" s="49"/>
      <c r="E47" s="49"/>
      <c r="F47" s="49"/>
      <c r="G47" s="49"/>
      <c r="H47" s="49"/>
      <c r="I47" s="15"/>
      <c r="J47" s="15"/>
      <c r="K47" s="15"/>
    </row>
  </sheetData>
  <dataValidations count="1">
    <dataValidation type="list" allowBlank="1" sqref="F8:F200" xr:uid="{00000000-0002-0000-0D00-000000000000}">
      <formula1>"I,H,V,X"</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L42"/>
  <sheetViews>
    <sheetView showGridLines="0" zoomScaleNormal="100" workbookViewId="0">
      <pane xSplit="3" ySplit="8" topLeftCell="D9" activePane="bottomRight" state="frozen"/>
      <selection pane="topRight" activeCell="D1" sqref="D1"/>
      <selection pane="bottomLeft" activeCell="A9" sqref="A9"/>
      <selection pane="bottomRight"/>
    </sheetView>
  </sheetViews>
  <sheetFormatPr defaultColWidth="8.6328125" defaultRowHeight="14.5" x14ac:dyDescent="0.35"/>
  <cols>
    <col min="1" max="1" width="16" style="14" customWidth="1"/>
    <col min="2" max="2" width="7" style="14" customWidth="1"/>
    <col min="3" max="3" width="22" style="14" customWidth="1"/>
    <col min="4" max="8" width="12" style="14" customWidth="1"/>
    <col min="9" max="9" width="30" style="14" customWidth="1"/>
    <col min="11" max="12" width="20" style="14" customWidth="1"/>
  </cols>
  <sheetData>
    <row r="1" spans="1:12" ht="17.25" customHeight="1" x14ac:dyDescent="0.35">
      <c r="A1" s="59" t="s">
        <v>1044</v>
      </c>
      <c r="B1" s="15"/>
      <c r="C1" s="15"/>
      <c r="D1" s="15"/>
      <c r="E1" s="15"/>
      <c r="F1" s="15"/>
      <c r="G1" s="15"/>
      <c r="H1" s="15"/>
      <c r="I1" s="15"/>
      <c r="J1" s="15"/>
      <c r="K1" s="27" t="str">
        <f>HYPERLINK("#TRANGCHU!A1","⬅ Về Trang chủ")</f>
        <v>⬅ Về Trang chủ</v>
      </c>
      <c r="L1" s="27" t="str">
        <f>HYPERLINK("#HUONGDAN!A1","📖 Về Hướng dẫn")</f>
        <v>📖 Về Hướng dẫn</v>
      </c>
    </row>
    <row r="2" spans="1:12" ht="15" customHeight="1" x14ac:dyDescent="0.3">
      <c r="A2" s="28" t="s">
        <v>1045</v>
      </c>
      <c r="B2" s="15"/>
      <c r="C2" s="15"/>
      <c r="D2" s="15"/>
      <c r="E2" s="15"/>
      <c r="F2" s="15"/>
      <c r="G2" s="15"/>
      <c r="H2" s="15"/>
      <c r="I2" s="15"/>
      <c r="J2" s="15"/>
      <c r="K2" s="15"/>
      <c r="L2" s="15"/>
    </row>
    <row r="3" spans="1:12" ht="15" customHeight="1" x14ac:dyDescent="0.3">
      <c r="A3" s="44" t="s">
        <v>1046</v>
      </c>
      <c r="B3" s="15"/>
      <c r="C3" s="15"/>
      <c r="D3" s="15"/>
      <c r="E3" s="15"/>
      <c r="F3" s="15"/>
      <c r="G3" s="15"/>
      <c r="H3" s="15"/>
      <c r="I3" s="15"/>
      <c r="J3" s="15"/>
      <c r="K3" s="15"/>
      <c r="L3" s="15"/>
    </row>
    <row r="4" spans="1:12" ht="15" customHeight="1" x14ac:dyDescent="0.3">
      <c r="A4" s="15"/>
      <c r="B4" s="15"/>
      <c r="C4" s="15"/>
      <c r="D4" s="15"/>
      <c r="E4" s="15"/>
      <c r="F4" s="15"/>
      <c r="G4" s="15"/>
      <c r="H4" s="15"/>
      <c r="I4" s="15"/>
      <c r="J4" s="15"/>
      <c r="K4" s="15"/>
      <c r="L4" s="15"/>
    </row>
    <row r="5" spans="1:12" ht="15" customHeight="1" x14ac:dyDescent="0.3">
      <c r="A5" s="64" t="s">
        <v>1047</v>
      </c>
      <c r="B5" s="15"/>
      <c r="C5" s="15"/>
      <c r="D5" s="64" t="s">
        <v>1048</v>
      </c>
      <c r="E5" s="15"/>
      <c r="F5" s="15"/>
      <c r="G5" s="15"/>
      <c r="H5" s="15"/>
      <c r="I5" s="15"/>
      <c r="J5" s="15"/>
      <c r="K5" s="15"/>
      <c r="L5" s="15"/>
    </row>
    <row r="6" spans="1:12" ht="15" customHeight="1" x14ac:dyDescent="0.3">
      <c r="A6" s="64" t="s">
        <v>1049</v>
      </c>
      <c r="B6" s="15"/>
      <c r="C6" s="15"/>
      <c r="D6" s="64" t="s">
        <v>1050</v>
      </c>
      <c r="E6" s="15" t="s">
        <v>1051</v>
      </c>
      <c r="F6" s="15"/>
      <c r="G6" s="15"/>
      <c r="H6" s="15"/>
      <c r="I6" s="15"/>
      <c r="J6" s="15"/>
      <c r="K6" s="15"/>
      <c r="L6" s="15"/>
    </row>
    <row r="7" spans="1:12" ht="15" customHeight="1" x14ac:dyDescent="0.3">
      <c r="A7" s="15"/>
      <c r="B7" s="15"/>
      <c r="C7" s="15"/>
      <c r="D7" s="15"/>
      <c r="E7" s="15"/>
      <c r="F7" s="15"/>
      <c r="G7" s="15"/>
      <c r="H7" s="15"/>
      <c r="I7" s="15"/>
      <c r="J7" s="15"/>
      <c r="K7" s="15"/>
      <c r="L7" s="15"/>
    </row>
    <row r="8" spans="1:12" ht="15" customHeight="1" x14ac:dyDescent="0.3">
      <c r="A8" s="60" t="s">
        <v>68</v>
      </c>
      <c r="B8" s="60" t="s">
        <v>141</v>
      </c>
      <c r="C8" s="60" t="s">
        <v>142</v>
      </c>
      <c r="D8" s="60" t="s">
        <v>1052</v>
      </c>
      <c r="E8" s="60" t="s">
        <v>1053</v>
      </c>
      <c r="F8" s="60" t="s">
        <v>1054</v>
      </c>
      <c r="G8" s="60" t="s">
        <v>1055</v>
      </c>
      <c r="H8" s="60" t="s">
        <v>1056</v>
      </c>
      <c r="I8" s="60" t="s">
        <v>1057</v>
      </c>
      <c r="J8" s="15"/>
      <c r="K8" s="15"/>
      <c r="L8" s="15"/>
    </row>
    <row r="9" spans="1:12" ht="27.75" customHeight="1" x14ac:dyDescent="0.3">
      <c r="A9" s="48" t="s">
        <v>71</v>
      </c>
      <c r="B9" s="49" t="s">
        <v>149</v>
      </c>
      <c r="C9" s="32" t="s">
        <v>150</v>
      </c>
      <c r="D9" s="49"/>
      <c r="E9" s="49"/>
      <c r="F9" s="49"/>
      <c r="G9" s="49"/>
      <c r="H9" s="49"/>
      <c r="I9" s="49"/>
      <c r="J9" s="15"/>
      <c r="K9" s="15"/>
      <c r="L9" s="15"/>
    </row>
    <row r="10" spans="1:12" ht="27.75" customHeight="1" x14ac:dyDescent="0.3">
      <c r="A10" s="48" t="s">
        <v>71</v>
      </c>
      <c r="B10" s="49" t="s">
        <v>157</v>
      </c>
      <c r="C10" s="32" t="s">
        <v>158</v>
      </c>
      <c r="D10" s="49"/>
      <c r="E10" s="49"/>
      <c r="F10" s="49"/>
      <c r="G10" s="49"/>
      <c r="H10" s="49"/>
      <c r="I10" s="49"/>
      <c r="J10" s="15"/>
      <c r="K10" s="15"/>
      <c r="L10" s="15"/>
    </row>
    <row r="11" spans="1:12" ht="15" customHeight="1" x14ac:dyDescent="0.3">
      <c r="A11" s="48" t="s">
        <v>71</v>
      </c>
      <c r="B11" s="49" t="s">
        <v>165</v>
      </c>
      <c r="C11" s="32" t="s">
        <v>166</v>
      </c>
      <c r="D11" s="49"/>
      <c r="E11" s="49"/>
      <c r="F11" s="49"/>
      <c r="G11" s="49"/>
      <c r="H11" s="49"/>
      <c r="I11" s="49"/>
      <c r="J11" s="15"/>
      <c r="K11" s="15"/>
      <c r="L11" s="15"/>
    </row>
    <row r="12" spans="1:12" ht="15" customHeight="1" x14ac:dyDescent="0.3">
      <c r="A12" s="48" t="s">
        <v>71</v>
      </c>
      <c r="B12" s="49" t="s">
        <v>172</v>
      </c>
      <c r="C12" s="32" t="s">
        <v>173</v>
      </c>
      <c r="D12" s="49"/>
      <c r="E12" s="49"/>
      <c r="F12" s="49"/>
      <c r="G12" s="49"/>
      <c r="H12" s="49"/>
      <c r="I12" s="49"/>
      <c r="J12" s="15"/>
      <c r="K12" s="15"/>
      <c r="L12" s="15"/>
    </row>
    <row r="13" spans="1:12" ht="27.75" customHeight="1" x14ac:dyDescent="0.3">
      <c r="A13" s="48" t="s">
        <v>71</v>
      </c>
      <c r="B13" s="49" t="s">
        <v>178</v>
      </c>
      <c r="C13" s="32" t="s">
        <v>179</v>
      </c>
      <c r="D13" s="49"/>
      <c r="E13" s="49"/>
      <c r="F13" s="49"/>
      <c r="G13" s="49"/>
      <c r="H13" s="49"/>
      <c r="I13" s="49"/>
      <c r="J13" s="15"/>
      <c r="K13" s="15"/>
      <c r="L13" s="15"/>
    </row>
    <row r="14" spans="1:12" ht="27.75" customHeight="1" x14ac:dyDescent="0.3">
      <c r="A14" s="48" t="s">
        <v>71</v>
      </c>
      <c r="B14" s="49" t="s">
        <v>184</v>
      </c>
      <c r="C14" s="32" t="s">
        <v>185</v>
      </c>
      <c r="D14" s="49"/>
      <c r="E14" s="49"/>
      <c r="F14" s="49"/>
      <c r="G14" s="49"/>
      <c r="H14" s="49"/>
      <c r="I14" s="49"/>
      <c r="J14" s="15"/>
      <c r="K14" s="15"/>
      <c r="L14" s="15"/>
    </row>
    <row r="15" spans="1:12" ht="15" customHeight="1" x14ac:dyDescent="0.3">
      <c r="A15" s="48" t="s">
        <v>71</v>
      </c>
      <c r="B15" s="49" t="s">
        <v>190</v>
      </c>
      <c r="C15" s="32" t="s">
        <v>191</v>
      </c>
      <c r="D15" s="49"/>
      <c r="E15" s="49"/>
      <c r="F15" s="49"/>
      <c r="G15" s="49"/>
      <c r="H15" s="49"/>
      <c r="I15" s="49"/>
      <c r="J15" s="15"/>
      <c r="K15" s="15"/>
      <c r="L15" s="15"/>
    </row>
    <row r="16" spans="1:12" ht="15" customHeight="1" x14ac:dyDescent="0.3">
      <c r="A16" s="50" t="s">
        <v>73</v>
      </c>
      <c r="B16" s="49" t="s">
        <v>197</v>
      </c>
      <c r="C16" s="32" t="s">
        <v>198</v>
      </c>
      <c r="D16" s="49"/>
      <c r="E16" s="49"/>
      <c r="F16" s="49"/>
      <c r="G16" s="49"/>
      <c r="H16" s="49"/>
      <c r="I16" s="49"/>
      <c r="J16" s="15"/>
      <c r="K16" s="15"/>
      <c r="L16" s="15"/>
    </row>
    <row r="17" spans="1:12" ht="15" customHeight="1" x14ac:dyDescent="0.3">
      <c r="A17" s="50" t="s">
        <v>73</v>
      </c>
      <c r="B17" s="49" t="s">
        <v>204</v>
      </c>
      <c r="C17" s="32" t="s">
        <v>205</v>
      </c>
      <c r="D17" s="49"/>
      <c r="E17" s="49"/>
      <c r="F17" s="49"/>
      <c r="G17" s="49"/>
      <c r="H17" s="49"/>
      <c r="I17" s="49"/>
      <c r="J17" s="15"/>
      <c r="K17" s="15"/>
      <c r="L17" s="15"/>
    </row>
    <row r="18" spans="1:12" ht="27.75" customHeight="1" x14ac:dyDescent="0.3">
      <c r="A18" s="50" t="s">
        <v>73</v>
      </c>
      <c r="B18" s="49" t="s">
        <v>210</v>
      </c>
      <c r="C18" s="32" t="s">
        <v>211</v>
      </c>
      <c r="D18" s="49"/>
      <c r="E18" s="49"/>
      <c r="F18" s="49"/>
      <c r="G18" s="49"/>
      <c r="H18" s="49"/>
      <c r="I18" s="49"/>
      <c r="J18" s="15"/>
      <c r="K18" s="15"/>
      <c r="L18" s="15"/>
    </row>
    <row r="19" spans="1:12" ht="27.75" customHeight="1" x14ac:dyDescent="0.3">
      <c r="A19" s="50" t="s">
        <v>73</v>
      </c>
      <c r="B19" s="49" t="s">
        <v>218</v>
      </c>
      <c r="C19" s="32" t="s">
        <v>219</v>
      </c>
      <c r="D19" s="49"/>
      <c r="E19" s="49"/>
      <c r="F19" s="49"/>
      <c r="G19" s="49"/>
      <c r="H19" s="49"/>
      <c r="I19" s="49"/>
      <c r="J19" s="15"/>
      <c r="K19" s="15"/>
      <c r="L19" s="15"/>
    </row>
    <row r="20" spans="1:12" ht="15" customHeight="1" x14ac:dyDescent="0.3">
      <c r="A20" s="50" t="s">
        <v>73</v>
      </c>
      <c r="B20" s="49" t="s">
        <v>225</v>
      </c>
      <c r="C20" s="32" t="s">
        <v>226</v>
      </c>
      <c r="D20" s="49"/>
      <c r="E20" s="49"/>
      <c r="F20" s="49"/>
      <c r="G20" s="49"/>
      <c r="H20" s="49"/>
      <c r="I20" s="49"/>
      <c r="J20" s="15"/>
      <c r="K20" s="15"/>
      <c r="L20" s="15"/>
    </row>
    <row r="21" spans="1:12" ht="15" customHeight="1" x14ac:dyDescent="0.3">
      <c r="A21" s="50" t="s">
        <v>73</v>
      </c>
      <c r="B21" s="49" t="s">
        <v>232</v>
      </c>
      <c r="C21" s="32" t="s">
        <v>233</v>
      </c>
      <c r="D21" s="49"/>
      <c r="E21" s="49"/>
      <c r="F21" s="49"/>
      <c r="G21" s="49"/>
      <c r="H21" s="49"/>
      <c r="I21" s="49"/>
      <c r="J21" s="15"/>
      <c r="K21" s="15"/>
      <c r="L21" s="15"/>
    </row>
    <row r="22" spans="1:12" ht="27.75" customHeight="1" x14ac:dyDescent="0.3">
      <c r="A22" s="50" t="s">
        <v>73</v>
      </c>
      <c r="B22" s="49" t="s">
        <v>238</v>
      </c>
      <c r="C22" s="32" t="s">
        <v>239</v>
      </c>
      <c r="D22" s="49"/>
      <c r="E22" s="49"/>
      <c r="F22" s="49"/>
      <c r="G22" s="49"/>
      <c r="H22" s="49"/>
      <c r="I22" s="49"/>
      <c r="J22" s="15"/>
      <c r="K22" s="15"/>
      <c r="L22" s="15"/>
    </row>
    <row r="23" spans="1:12" ht="27.75" customHeight="1" x14ac:dyDescent="0.3">
      <c r="A23" s="50" t="s">
        <v>73</v>
      </c>
      <c r="B23" s="49" t="s">
        <v>244</v>
      </c>
      <c r="C23" s="32" t="s">
        <v>245</v>
      </c>
      <c r="D23" s="49"/>
      <c r="E23" s="49"/>
      <c r="F23" s="49"/>
      <c r="G23" s="49"/>
      <c r="H23" s="49"/>
      <c r="I23" s="49"/>
      <c r="J23" s="15"/>
      <c r="K23" s="15"/>
      <c r="L23" s="15"/>
    </row>
    <row r="24" spans="1:12" ht="15" customHeight="1" x14ac:dyDescent="0.3">
      <c r="A24" s="51" t="s">
        <v>251</v>
      </c>
      <c r="B24" s="49" t="s">
        <v>252</v>
      </c>
      <c r="C24" s="32" t="s">
        <v>253</v>
      </c>
      <c r="D24" s="49"/>
      <c r="E24" s="49"/>
      <c r="F24" s="49"/>
      <c r="G24" s="49"/>
      <c r="H24" s="49"/>
      <c r="I24" s="49"/>
      <c r="J24" s="15"/>
      <c r="K24" s="15"/>
      <c r="L24" s="15"/>
    </row>
    <row r="25" spans="1:12" ht="15" customHeight="1" x14ac:dyDescent="0.3">
      <c r="A25" s="51" t="s">
        <v>251</v>
      </c>
      <c r="B25" s="49" t="s">
        <v>258</v>
      </c>
      <c r="C25" s="32" t="s">
        <v>259</v>
      </c>
      <c r="D25" s="49"/>
      <c r="E25" s="49"/>
      <c r="F25" s="49"/>
      <c r="G25" s="49"/>
      <c r="H25" s="49"/>
      <c r="I25" s="49"/>
      <c r="J25" s="15"/>
      <c r="K25" s="15"/>
      <c r="L25" s="15"/>
    </row>
    <row r="26" spans="1:12" ht="27.75" customHeight="1" x14ac:dyDescent="0.3">
      <c r="A26" s="51" t="s">
        <v>251</v>
      </c>
      <c r="B26" s="49" t="s">
        <v>264</v>
      </c>
      <c r="C26" s="32" t="s">
        <v>265</v>
      </c>
      <c r="D26" s="49"/>
      <c r="E26" s="49"/>
      <c r="F26" s="49"/>
      <c r="G26" s="49"/>
      <c r="H26" s="49"/>
      <c r="I26" s="49"/>
      <c r="J26" s="15"/>
      <c r="K26" s="15"/>
      <c r="L26" s="15"/>
    </row>
    <row r="27" spans="1:12" ht="15" customHeight="1" x14ac:dyDescent="0.3">
      <c r="A27" s="51" t="s">
        <v>251</v>
      </c>
      <c r="B27" s="49" t="s">
        <v>270</v>
      </c>
      <c r="C27" s="32" t="s">
        <v>271</v>
      </c>
      <c r="D27" s="49"/>
      <c r="E27" s="49"/>
      <c r="F27" s="49"/>
      <c r="G27" s="49"/>
      <c r="H27" s="49"/>
      <c r="I27" s="49"/>
      <c r="J27" s="15"/>
      <c r="K27" s="15"/>
      <c r="L27" s="15"/>
    </row>
    <row r="28" spans="1:12" ht="27.75" customHeight="1" x14ac:dyDescent="0.3">
      <c r="A28" s="52" t="s">
        <v>77</v>
      </c>
      <c r="B28" s="49" t="s">
        <v>276</v>
      </c>
      <c r="C28" s="32" t="s">
        <v>277</v>
      </c>
      <c r="D28" s="49"/>
      <c r="E28" s="49"/>
      <c r="F28" s="49"/>
      <c r="G28" s="49"/>
      <c r="H28" s="49"/>
      <c r="I28" s="49"/>
      <c r="J28" s="15"/>
      <c r="K28" s="15"/>
      <c r="L28" s="15"/>
    </row>
    <row r="29" spans="1:12" ht="27.75" customHeight="1" x14ac:dyDescent="0.3">
      <c r="A29" s="52" t="s">
        <v>77</v>
      </c>
      <c r="B29" s="49" t="s">
        <v>282</v>
      </c>
      <c r="C29" s="32" t="s">
        <v>283</v>
      </c>
      <c r="D29" s="49"/>
      <c r="E29" s="49"/>
      <c r="F29" s="49"/>
      <c r="G29" s="49"/>
      <c r="H29" s="49"/>
      <c r="I29" s="49"/>
      <c r="J29" s="15"/>
      <c r="K29" s="15"/>
      <c r="L29" s="15"/>
    </row>
    <row r="30" spans="1:12" ht="27.75" customHeight="1" x14ac:dyDescent="0.3">
      <c r="A30" s="52" t="s">
        <v>77</v>
      </c>
      <c r="B30" s="49" t="s">
        <v>288</v>
      </c>
      <c r="C30" s="32" t="s">
        <v>289</v>
      </c>
      <c r="D30" s="49"/>
      <c r="E30" s="49"/>
      <c r="F30" s="49"/>
      <c r="G30" s="49"/>
      <c r="H30" s="49"/>
      <c r="I30" s="49"/>
      <c r="J30" s="15"/>
      <c r="K30" s="15"/>
      <c r="L30" s="15"/>
    </row>
    <row r="31" spans="1:12" ht="41.25" customHeight="1" x14ac:dyDescent="0.3">
      <c r="A31" s="52" t="s">
        <v>77</v>
      </c>
      <c r="B31" s="49" t="s">
        <v>294</v>
      </c>
      <c r="C31" s="32" t="s">
        <v>295</v>
      </c>
      <c r="D31" s="49"/>
      <c r="E31" s="49"/>
      <c r="F31" s="49"/>
      <c r="G31" s="49"/>
      <c r="H31" s="49"/>
      <c r="I31" s="49"/>
      <c r="J31" s="15"/>
      <c r="K31" s="15"/>
      <c r="L31" s="15"/>
    </row>
    <row r="32" spans="1:12" ht="27.75" customHeight="1" x14ac:dyDescent="0.3">
      <c r="A32" s="52" t="s">
        <v>77</v>
      </c>
      <c r="B32" s="49" t="s">
        <v>300</v>
      </c>
      <c r="C32" s="32" t="s">
        <v>301</v>
      </c>
      <c r="D32" s="49"/>
      <c r="E32" s="49"/>
      <c r="F32" s="49"/>
      <c r="G32" s="49"/>
      <c r="H32" s="49"/>
      <c r="I32" s="49"/>
      <c r="J32" s="15"/>
      <c r="K32" s="15"/>
      <c r="L32" s="15"/>
    </row>
    <row r="33" spans="1:12" ht="41.25" customHeight="1" x14ac:dyDescent="0.3">
      <c r="A33" s="52" t="s">
        <v>77</v>
      </c>
      <c r="B33" s="49" t="s">
        <v>306</v>
      </c>
      <c r="C33" s="32" t="s">
        <v>307</v>
      </c>
      <c r="D33" s="49"/>
      <c r="E33" s="49"/>
      <c r="F33" s="49"/>
      <c r="G33" s="49"/>
      <c r="H33" s="49"/>
      <c r="I33" s="49"/>
      <c r="J33" s="15"/>
      <c r="K33" s="15"/>
      <c r="L33" s="15"/>
    </row>
    <row r="34" spans="1:12" ht="27.75" customHeight="1" x14ac:dyDescent="0.3">
      <c r="A34" s="53" t="s">
        <v>312</v>
      </c>
      <c r="B34" s="49" t="s">
        <v>313</v>
      </c>
      <c r="C34" s="32" t="s">
        <v>314</v>
      </c>
      <c r="D34" s="49"/>
      <c r="E34" s="49"/>
      <c r="F34" s="49"/>
      <c r="G34" s="49"/>
      <c r="H34" s="49"/>
      <c r="I34" s="49"/>
      <c r="J34" s="15"/>
      <c r="K34" s="15"/>
      <c r="L34" s="15"/>
    </row>
    <row r="35" spans="1:12" ht="27.75" customHeight="1" x14ac:dyDescent="0.3">
      <c r="A35" s="53" t="s">
        <v>312</v>
      </c>
      <c r="B35" s="49" t="s">
        <v>319</v>
      </c>
      <c r="C35" s="32" t="s">
        <v>320</v>
      </c>
      <c r="D35" s="49"/>
      <c r="E35" s="49"/>
      <c r="F35" s="49"/>
      <c r="G35" s="49"/>
      <c r="H35" s="49"/>
      <c r="I35" s="49"/>
      <c r="J35" s="15"/>
      <c r="K35" s="15"/>
      <c r="L35" s="15"/>
    </row>
    <row r="36" spans="1:12" ht="27.75" customHeight="1" x14ac:dyDescent="0.3">
      <c r="A36" s="53" t="s">
        <v>312</v>
      </c>
      <c r="B36" s="49" t="s">
        <v>325</v>
      </c>
      <c r="C36" s="32" t="s">
        <v>326</v>
      </c>
      <c r="D36" s="49"/>
      <c r="E36" s="49"/>
      <c r="F36" s="49"/>
      <c r="G36" s="49"/>
      <c r="H36" s="49"/>
      <c r="I36" s="49"/>
      <c r="J36" s="15"/>
      <c r="K36" s="15"/>
      <c r="L36" s="15"/>
    </row>
    <row r="37" spans="1:12" ht="27.75" customHeight="1" x14ac:dyDescent="0.3">
      <c r="A37" s="53" t="s">
        <v>312</v>
      </c>
      <c r="B37" s="49" t="s">
        <v>331</v>
      </c>
      <c r="C37" s="32" t="s">
        <v>332</v>
      </c>
      <c r="D37" s="49"/>
      <c r="E37" s="49"/>
      <c r="F37" s="49"/>
      <c r="G37" s="49"/>
      <c r="H37" s="49"/>
      <c r="I37" s="49"/>
      <c r="J37" s="15"/>
      <c r="K37" s="15"/>
      <c r="L37" s="15"/>
    </row>
    <row r="38" spans="1:12" ht="41.25" customHeight="1" x14ac:dyDescent="0.3">
      <c r="A38" s="53" t="s">
        <v>312</v>
      </c>
      <c r="B38" s="49" t="s">
        <v>337</v>
      </c>
      <c r="C38" s="32" t="s">
        <v>338</v>
      </c>
      <c r="D38" s="49"/>
      <c r="E38" s="49"/>
      <c r="F38" s="49"/>
      <c r="G38" s="49"/>
      <c r="H38" s="49"/>
      <c r="I38" s="49"/>
      <c r="J38" s="15"/>
      <c r="K38" s="15"/>
      <c r="L38" s="15"/>
    </row>
    <row r="39" spans="1:12" ht="15" customHeight="1" x14ac:dyDescent="0.3">
      <c r="A39" s="15"/>
      <c r="B39" s="15"/>
      <c r="C39" s="15"/>
      <c r="D39" s="15"/>
      <c r="E39" s="15"/>
      <c r="F39" s="15"/>
      <c r="G39" s="15"/>
      <c r="H39" s="15"/>
      <c r="I39" s="15"/>
      <c r="J39" s="15"/>
      <c r="K39" s="15"/>
      <c r="L39" s="15"/>
    </row>
    <row r="40" spans="1:12" ht="15" customHeight="1" x14ac:dyDescent="0.3">
      <c r="A40" s="15"/>
      <c r="B40" s="15"/>
      <c r="C40" s="15"/>
      <c r="D40" s="15"/>
      <c r="E40" s="15"/>
      <c r="F40" s="15"/>
      <c r="G40" s="15"/>
      <c r="H40" s="15"/>
      <c r="I40" s="15"/>
      <c r="J40" s="15"/>
      <c r="K40" s="15"/>
      <c r="L40" s="15"/>
    </row>
    <row r="41" spans="1:12" ht="15" customHeight="1" x14ac:dyDescent="0.3">
      <c r="A41" s="65" t="s">
        <v>1058</v>
      </c>
      <c r="B41" s="15"/>
      <c r="C41" s="15"/>
      <c r="D41" s="15"/>
      <c r="E41" s="15"/>
      <c r="F41" s="15"/>
      <c r="G41" s="15"/>
      <c r="H41" s="15"/>
      <c r="I41" s="15"/>
      <c r="J41" s="15"/>
      <c r="K41" s="15"/>
      <c r="L41" s="15"/>
    </row>
    <row r="42" spans="1:12" ht="23.25" customHeight="1" x14ac:dyDescent="0.3">
      <c r="A42" s="2" t="s">
        <v>1059</v>
      </c>
      <c r="B42" s="2"/>
      <c r="C42" s="2"/>
      <c r="D42" s="2"/>
      <c r="E42" s="2"/>
      <c r="F42" s="2"/>
      <c r="G42" s="2"/>
      <c r="H42" s="2"/>
      <c r="I42" s="2"/>
      <c r="J42" s="15"/>
      <c r="K42" s="15"/>
      <c r="L42" s="15"/>
    </row>
  </sheetData>
  <mergeCells count="1">
    <mergeCell ref="A42:I42"/>
  </mergeCells>
  <dataValidations count="1">
    <dataValidation type="list" allowBlank="1" sqref="D9:H38" xr:uid="{00000000-0002-0000-0E00-000000000000}">
      <formula1>"I,H,V,X"</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K38"/>
  <sheetViews>
    <sheetView showGridLines="0" zoomScaleNormal="100" workbookViewId="0"/>
  </sheetViews>
  <sheetFormatPr defaultColWidth="8.6328125" defaultRowHeight="14.5" x14ac:dyDescent="0.35"/>
  <cols>
    <col min="1" max="4" width="16" style="14" customWidth="1"/>
    <col min="5" max="8" width="10" style="14" customWidth="1"/>
    <col min="10" max="11" width="20" style="14" customWidth="1"/>
  </cols>
  <sheetData>
    <row r="1" spans="1:11" ht="17.25" customHeight="1" x14ac:dyDescent="0.35">
      <c r="A1" s="59" t="s">
        <v>1060</v>
      </c>
      <c r="B1" s="15"/>
      <c r="C1" s="15"/>
      <c r="D1" s="15"/>
      <c r="E1" s="15"/>
      <c r="F1" s="15"/>
      <c r="G1" s="15"/>
      <c r="H1" s="15"/>
      <c r="I1" s="15"/>
      <c r="J1" s="27" t="str">
        <f>HYPERLINK("#TRANGCHU!A1","⬅ Về Trang chủ")</f>
        <v>⬅ Về Trang chủ</v>
      </c>
      <c r="K1" s="27" t="str">
        <f>HYPERLINK("#HUONGDAN!A1","📖 Về Hướng dẫn")</f>
        <v>📖 Về Hướng dẫn</v>
      </c>
    </row>
    <row r="2" spans="1:11" ht="15" customHeight="1" x14ac:dyDescent="0.3">
      <c r="A2" s="28" t="s">
        <v>1061</v>
      </c>
      <c r="B2" s="15"/>
      <c r="C2" s="15"/>
      <c r="D2" s="15"/>
      <c r="E2" s="15"/>
      <c r="F2" s="15"/>
      <c r="G2" s="15"/>
      <c r="H2" s="15"/>
      <c r="I2" s="15"/>
      <c r="J2" s="15"/>
      <c r="K2" s="15"/>
    </row>
    <row r="3" spans="1:11" ht="15" customHeight="1" x14ac:dyDescent="0.3">
      <c r="A3" s="15"/>
      <c r="B3" s="15"/>
      <c r="C3" s="15"/>
      <c r="D3" s="15"/>
      <c r="E3" s="15"/>
      <c r="F3" s="15"/>
      <c r="G3" s="15"/>
      <c r="H3" s="15"/>
      <c r="I3" s="15"/>
      <c r="J3" s="15"/>
      <c r="K3" s="15"/>
    </row>
    <row r="4" spans="1:11" ht="15" customHeight="1" x14ac:dyDescent="0.3">
      <c r="A4" s="64" t="s">
        <v>1062</v>
      </c>
      <c r="B4" s="15"/>
      <c r="C4" s="15"/>
      <c r="D4" s="64" t="s">
        <v>1048</v>
      </c>
      <c r="E4" s="15"/>
      <c r="F4" s="15"/>
      <c r="G4" s="15"/>
      <c r="H4" s="15"/>
      <c r="I4" s="15"/>
      <c r="J4" s="15"/>
      <c r="K4" s="15"/>
    </row>
    <row r="5" spans="1:11" ht="15" customHeight="1" x14ac:dyDescent="0.3">
      <c r="A5" s="64" t="s">
        <v>1063</v>
      </c>
      <c r="B5" s="15"/>
      <c r="C5" s="15"/>
      <c r="D5" s="64" t="s">
        <v>1064</v>
      </c>
      <c r="E5" s="15"/>
      <c r="F5" s="15"/>
      <c r="G5" s="15"/>
      <c r="H5" s="15"/>
      <c r="I5" s="15"/>
      <c r="J5" s="15"/>
      <c r="K5" s="15"/>
    </row>
    <row r="6" spans="1:11" ht="15" customHeight="1" x14ac:dyDescent="0.3">
      <c r="A6" s="15"/>
      <c r="B6" s="15"/>
      <c r="C6" s="15"/>
      <c r="D6" s="15"/>
      <c r="E6" s="15"/>
      <c r="F6" s="15"/>
      <c r="G6" s="15"/>
      <c r="H6" s="15"/>
      <c r="I6" s="15"/>
      <c r="J6" s="15"/>
      <c r="K6" s="15"/>
    </row>
    <row r="7" spans="1:11" ht="15" customHeight="1" x14ac:dyDescent="0.3">
      <c r="A7" s="65" t="s">
        <v>1065</v>
      </c>
      <c r="B7" s="15"/>
      <c r="C7" s="15"/>
      <c r="D7" s="15"/>
      <c r="E7" s="15"/>
      <c r="F7" s="15"/>
      <c r="G7" s="15"/>
      <c r="H7" s="15"/>
      <c r="I7" s="15"/>
      <c r="J7" s="15"/>
      <c r="K7" s="15"/>
    </row>
    <row r="8" spans="1:11" ht="15" customHeight="1" x14ac:dyDescent="0.3">
      <c r="A8" s="1"/>
      <c r="B8" s="1"/>
      <c r="C8" s="1"/>
      <c r="D8" s="1"/>
      <c r="E8" s="1"/>
      <c r="F8" s="1"/>
      <c r="G8" s="1"/>
      <c r="H8" s="1"/>
      <c r="I8" s="15"/>
      <c r="J8" s="15"/>
      <c r="K8" s="15"/>
    </row>
    <row r="9" spans="1:11" ht="15" customHeight="1" x14ac:dyDescent="0.3">
      <c r="A9" s="1"/>
      <c r="B9" s="1"/>
      <c r="C9" s="1"/>
      <c r="D9" s="1"/>
      <c r="E9" s="1"/>
      <c r="F9" s="1"/>
      <c r="G9" s="1"/>
      <c r="H9" s="1"/>
      <c r="I9" s="15"/>
      <c r="J9" s="15"/>
      <c r="K9" s="15"/>
    </row>
    <row r="10" spans="1:11" ht="15" customHeight="1" x14ac:dyDescent="0.3">
      <c r="A10" s="1"/>
      <c r="B10" s="1"/>
      <c r="C10" s="1"/>
      <c r="D10" s="1"/>
      <c r="E10" s="1"/>
      <c r="F10" s="1"/>
      <c r="G10" s="1"/>
      <c r="H10" s="1"/>
      <c r="I10" s="15"/>
      <c r="J10" s="15"/>
      <c r="K10" s="15"/>
    </row>
    <row r="11" spans="1:11" ht="15" customHeight="1" x14ac:dyDescent="0.3">
      <c r="A11" s="15"/>
      <c r="B11" s="15"/>
      <c r="C11" s="15"/>
      <c r="D11" s="15"/>
      <c r="E11" s="15"/>
      <c r="F11" s="15"/>
      <c r="G11" s="15"/>
      <c r="H11" s="15"/>
      <c r="I11" s="15"/>
      <c r="J11" s="15"/>
      <c r="K11" s="15"/>
    </row>
    <row r="12" spans="1:11" ht="15" customHeight="1" x14ac:dyDescent="0.3">
      <c r="A12" s="65" t="s">
        <v>1066</v>
      </c>
      <c r="B12" s="15"/>
      <c r="C12" s="15"/>
      <c r="D12" s="15"/>
      <c r="E12" s="15"/>
      <c r="F12" s="15"/>
      <c r="G12" s="15"/>
      <c r="H12" s="15"/>
      <c r="I12" s="15"/>
      <c r="J12" s="15"/>
      <c r="K12" s="15"/>
    </row>
    <row r="13" spans="1:11" ht="15" customHeight="1" x14ac:dyDescent="0.3">
      <c r="A13" s="1"/>
      <c r="B13" s="1"/>
      <c r="C13" s="1"/>
      <c r="D13" s="1"/>
      <c r="E13" s="1"/>
      <c r="F13" s="1"/>
      <c r="G13" s="1"/>
      <c r="H13" s="1"/>
      <c r="I13" s="15"/>
      <c r="J13" s="15"/>
      <c r="K13" s="15"/>
    </row>
    <row r="14" spans="1:11" ht="15" customHeight="1" x14ac:dyDescent="0.3">
      <c r="A14" s="1"/>
      <c r="B14" s="1"/>
      <c r="C14" s="1"/>
      <c r="D14" s="1"/>
      <c r="E14" s="1"/>
      <c r="F14" s="1"/>
      <c r="G14" s="1"/>
      <c r="H14" s="1"/>
      <c r="I14" s="15"/>
      <c r="J14" s="15"/>
      <c r="K14" s="15"/>
    </row>
    <row r="15" spans="1:11" ht="15" customHeight="1" x14ac:dyDescent="0.3">
      <c r="A15" s="1"/>
      <c r="B15" s="1"/>
      <c r="C15" s="1"/>
      <c r="D15" s="1"/>
      <c r="E15" s="1"/>
      <c r="F15" s="1"/>
      <c r="G15" s="1"/>
      <c r="H15" s="1"/>
      <c r="I15" s="15"/>
      <c r="J15" s="15"/>
      <c r="K15" s="15"/>
    </row>
    <row r="16" spans="1:11" ht="15" customHeight="1" x14ac:dyDescent="0.3">
      <c r="A16" s="15"/>
      <c r="B16" s="15"/>
      <c r="C16" s="15"/>
      <c r="D16" s="15"/>
      <c r="E16" s="15"/>
      <c r="F16" s="15"/>
      <c r="G16" s="15"/>
      <c r="H16" s="15"/>
      <c r="I16" s="15"/>
      <c r="J16" s="15"/>
      <c r="K16" s="15"/>
    </row>
    <row r="17" spans="1:11" ht="15" customHeight="1" x14ac:dyDescent="0.3">
      <c r="A17" s="65" t="s">
        <v>1067</v>
      </c>
      <c r="B17" s="15"/>
      <c r="C17" s="15"/>
      <c r="D17" s="15"/>
      <c r="E17" s="15"/>
      <c r="F17" s="15"/>
      <c r="G17" s="15"/>
      <c r="H17" s="15"/>
      <c r="I17" s="15"/>
      <c r="J17" s="15"/>
      <c r="K17" s="15"/>
    </row>
    <row r="18" spans="1:11" ht="15" customHeight="1" x14ac:dyDescent="0.3">
      <c r="A18" s="1"/>
      <c r="B18" s="1"/>
      <c r="C18" s="1"/>
      <c r="D18" s="1"/>
      <c r="E18" s="1"/>
      <c r="F18" s="1"/>
      <c r="G18" s="1"/>
      <c r="H18" s="1"/>
      <c r="I18" s="15"/>
      <c r="J18" s="15"/>
      <c r="K18" s="15"/>
    </row>
    <row r="19" spans="1:11" ht="15" customHeight="1" x14ac:dyDescent="0.3">
      <c r="A19" s="1"/>
      <c r="B19" s="1"/>
      <c r="C19" s="1"/>
      <c r="D19" s="1"/>
      <c r="E19" s="1"/>
      <c r="F19" s="1"/>
      <c r="G19" s="1"/>
      <c r="H19" s="1"/>
      <c r="I19" s="15"/>
      <c r="J19" s="15"/>
      <c r="K19" s="15"/>
    </row>
    <row r="20" spans="1:11" ht="15" customHeight="1" x14ac:dyDescent="0.3">
      <c r="A20" s="1"/>
      <c r="B20" s="1"/>
      <c r="C20" s="1"/>
      <c r="D20" s="1"/>
      <c r="E20" s="1"/>
      <c r="F20" s="1"/>
      <c r="G20" s="1"/>
      <c r="H20" s="1"/>
      <c r="I20" s="15"/>
      <c r="J20" s="15"/>
      <c r="K20" s="15"/>
    </row>
    <row r="21" spans="1:11" ht="15" customHeight="1" x14ac:dyDescent="0.3">
      <c r="A21" s="15"/>
      <c r="B21" s="15"/>
      <c r="C21" s="15"/>
      <c r="D21" s="15"/>
      <c r="E21" s="15"/>
      <c r="F21" s="15"/>
      <c r="G21" s="15"/>
      <c r="H21" s="15"/>
      <c r="I21" s="15"/>
      <c r="J21" s="15"/>
      <c r="K21" s="15"/>
    </row>
    <row r="22" spans="1:11" ht="15" customHeight="1" x14ac:dyDescent="0.3">
      <c r="A22" s="65" t="s">
        <v>1068</v>
      </c>
      <c r="B22" s="15"/>
      <c r="C22" s="15"/>
      <c r="D22" s="15"/>
      <c r="E22" s="15"/>
      <c r="F22" s="15"/>
      <c r="G22" s="15"/>
      <c r="H22" s="15"/>
      <c r="I22" s="15"/>
      <c r="J22" s="15"/>
      <c r="K22" s="15"/>
    </row>
    <row r="23" spans="1:11" ht="15" customHeight="1" x14ac:dyDescent="0.3">
      <c r="A23" s="1"/>
      <c r="B23" s="1"/>
      <c r="C23" s="1"/>
      <c r="D23" s="1"/>
      <c r="E23" s="1"/>
      <c r="F23" s="1"/>
      <c r="G23" s="1"/>
      <c r="H23" s="1"/>
      <c r="I23" s="15"/>
      <c r="J23" s="15"/>
      <c r="K23" s="15"/>
    </row>
    <row r="24" spans="1:11" ht="15" customHeight="1" x14ac:dyDescent="0.3">
      <c r="A24" s="1"/>
      <c r="B24" s="1"/>
      <c r="C24" s="1"/>
      <c r="D24" s="1"/>
      <c r="E24" s="1"/>
      <c r="F24" s="1"/>
      <c r="G24" s="1"/>
      <c r="H24" s="1"/>
      <c r="I24" s="15"/>
      <c r="J24" s="15"/>
      <c r="K24" s="15"/>
    </row>
    <row r="25" spans="1:11" ht="15" customHeight="1" x14ac:dyDescent="0.3">
      <c r="A25" s="1"/>
      <c r="B25" s="1"/>
      <c r="C25" s="1"/>
      <c r="D25" s="1"/>
      <c r="E25" s="1"/>
      <c r="F25" s="1"/>
      <c r="G25" s="1"/>
      <c r="H25" s="1"/>
      <c r="I25" s="15"/>
      <c r="J25" s="15"/>
      <c r="K25" s="15"/>
    </row>
    <row r="26" spans="1:11" ht="15" customHeight="1" x14ac:dyDescent="0.3">
      <c r="A26" s="15"/>
      <c r="B26" s="15"/>
      <c r="C26" s="15"/>
      <c r="D26" s="15"/>
      <c r="E26" s="15"/>
      <c r="F26" s="15"/>
      <c r="G26" s="15"/>
      <c r="H26" s="15"/>
      <c r="I26" s="15"/>
      <c r="J26" s="15"/>
      <c r="K26" s="15"/>
    </row>
    <row r="27" spans="1:11" ht="15" customHeight="1" x14ac:dyDescent="0.3">
      <c r="A27" s="65" t="s">
        <v>1069</v>
      </c>
      <c r="B27" s="15"/>
      <c r="C27" s="15"/>
      <c r="D27" s="15"/>
      <c r="E27" s="15"/>
      <c r="F27" s="15"/>
      <c r="G27" s="15"/>
      <c r="H27" s="15"/>
      <c r="I27" s="15"/>
      <c r="J27" s="15"/>
      <c r="K27" s="15"/>
    </row>
    <row r="28" spans="1:11" ht="15" customHeight="1" x14ac:dyDescent="0.3">
      <c r="A28" s="1"/>
      <c r="B28" s="1"/>
      <c r="C28" s="1"/>
      <c r="D28" s="1"/>
      <c r="E28" s="1"/>
      <c r="F28" s="1"/>
      <c r="G28" s="1"/>
      <c r="H28" s="1"/>
      <c r="I28" s="15"/>
      <c r="J28" s="15"/>
      <c r="K28" s="15"/>
    </row>
    <row r="29" spans="1:11" ht="15" customHeight="1" x14ac:dyDescent="0.3">
      <c r="A29" s="1"/>
      <c r="B29" s="1"/>
      <c r="C29" s="1"/>
      <c r="D29" s="1"/>
      <c r="E29" s="1"/>
      <c r="F29" s="1"/>
      <c r="G29" s="1"/>
      <c r="H29" s="1"/>
      <c r="I29" s="15"/>
      <c r="J29" s="15"/>
      <c r="K29" s="15"/>
    </row>
    <row r="30" spans="1:11" ht="15" customHeight="1" x14ac:dyDescent="0.3">
      <c r="A30" s="1"/>
      <c r="B30" s="1"/>
      <c r="C30" s="1"/>
      <c r="D30" s="1"/>
      <c r="E30" s="1"/>
      <c r="F30" s="1"/>
      <c r="G30" s="1"/>
      <c r="H30" s="1"/>
      <c r="I30" s="15"/>
      <c r="J30" s="15"/>
      <c r="K30" s="15"/>
    </row>
    <row r="31" spans="1:11" ht="15" customHeight="1" x14ac:dyDescent="0.3">
      <c r="A31" s="1"/>
      <c r="B31" s="1"/>
      <c r="C31" s="1"/>
      <c r="D31" s="1"/>
      <c r="E31" s="1"/>
      <c r="F31" s="1"/>
      <c r="G31" s="1"/>
      <c r="H31" s="1"/>
      <c r="I31" s="15"/>
      <c r="J31" s="15"/>
      <c r="K31" s="15"/>
    </row>
    <row r="32" spans="1:11" ht="15" customHeight="1" x14ac:dyDescent="0.3">
      <c r="A32" s="15"/>
      <c r="B32" s="15"/>
      <c r="C32" s="15"/>
      <c r="D32" s="15"/>
      <c r="E32" s="15"/>
      <c r="F32" s="15"/>
      <c r="G32" s="15"/>
      <c r="H32" s="15"/>
      <c r="I32" s="15"/>
      <c r="J32" s="15"/>
      <c r="K32" s="15"/>
    </row>
    <row r="33" spans="1:11" ht="15" customHeight="1" x14ac:dyDescent="0.3">
      <c r="A33" s="66" t="s">
        <v>1070</v>
      </c>
      <c r="B33" s="15"/>
      <c r="C33" s="15"/>
      <c r="D33" s="15"/>
      <c r="E33" s="15"/>
      <c r="F33" s="15"/>
      <c r="G33" s="15"/>
      <c r="H33" s="15"/>
      <c r="I33" s="15"/>
      <c r="J33" s="15"/>
      <c r="K33" s="15"/>
    </row>
    <row r="34" spans="1:11" ht="15" customHeight="1" x14ac:dyDescent="0.3">
      <c r="A34" s="60" t="s">
        <v>1071</v>
      </c>
      <c r="B34" s="60" t="s">
        <v>1072</v>
      </c>
      <c r="C34" s="15"/>
      <c r="D34" s="15"/>
      <c r="E34" s="15"/>
      <c r="F34" s="15"/>
      <c r="G34" s="15"/>
      <c r="H34" s="15"/>
      <c r="I34" s="15"/>
      <c r="J34" s="15"/>
      <c r="K34" s="15"/>
    </row>
    <row r="35" spans="1:11" ht="68.25" customHeight="1" x14ac:dyDescent="0.3">
      <c r="A35" s="32" t="s">
        <v>1073</v>
      </c>
      <c r="B35" s="32" t="s">
        <v>1074</v>
      </c>
      <c r="C35" s="15"/>
      <c r="D35" s="15"/>
      <c r="E35" s="15"/>
      <c r="F35" s="15"/>
      <c r="G35" s="15"/>
      <c r="H35" s="15"/>
      <c r="I35" s="15"/>
      <c r="J35" s="15"/>
      <c r="K35" s="15"/>
    </row>
    <row r="36" spans="1:11" ht="68.25" customHeight="1" x14ac:dyDescent="0.3">
      <c r="A36" s="32" t="s">
        <v>1075</v>
      </c>
      <c r="B36" s="32" t="s">
        <v>1076</v>
      </c>
      <c r="C36" s="15"/>
      <c r="D36" s="15"/>
      <c r="E36" s="15"/>
      <c r="F36" s="15"/>
      <c r="G36" s="15"/>
      <c r="H36" s="15"/>
      <c r="I36" s="15"/>
      <c r="J36" s="15"/>
      <c r="K36" s="15"/>
    </row>
    <row r="37" spans="1:11" ht="41.25" customHeight="1" x14ac:dyDescent="0.3">
      <c r="A37" s="32" t="s">
        <v>1077</v>
      </c>
      <c r="B37" s="32" t="s">
        <v>1078</v>
      </c>
      <c r="C37" s="15"/>
      <c r="D37" s="15"/>
      <c r="E37" s="15"/>
      <c r="F37" s="15"/>
      <c r="G37" s="15"/>
      <c r="H37" s="15"/>
      <c r="I37" s="15"/>
      <c r="J37" s="15"/>
      <c r="K37" s="15"/>
    </row>
    <row r="38" spans="1:11" ht="68.25" customHeight="1" x14ac:dyDescent="0.3">
      <c r="A38" s="32" t="s">
        <v>1079</v>
      </c>
      <c r="B38" s="32" t="s">
        <v>1080</v>
      </c>
      <c r="C38" s="15"/>
      <c r="D38" s="15"/>
      <c r="E38" s="15"/>
      <c r="F38" s="15"/>
      <c r="G38" s="15"/>
      <c r="H38" s="15"/>
      <c r="I38" s="15"/>
      <c r="J38" s="15"/>
      <c r="K38" s="15"/>
    </row>
  </sheetData>
  <mergeCells count="16">
    <mergeCell ref="A31:H31"/>
    <mergeCell ref="A24:H24"/>
    <mergeCell ref="A25:H25"/>
    <mergeCell ref="A28:H28"/>
    <mergeCell ref="A29:H29"/>
    <mergeCell ref="A30:H30"/>
    <mergeCell ref="A15:H15"/>
    <mergeCell ref="A18:H18"/>
    <mergeCell ref="A19:H19"/>
    <mergeCell ref="A20:H20"/>
    <mergeCell ref="A23:H23"/>
    <mergeCell ref="A8:H8"/>
    <mergeCell ref="A9:H9"/>
    <mergeCell ref="A10:H10"/>
    <mergeCell ref="A13:H13"/>
    <mergeCell ref="A14:H14"/>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M38"/>
  <sheetViews>
    <sheetView showGridLines="0" zoomScaleNormal="100" workbookViewId="0">
      <pane xSplit="2" ySplit="8" topLeftCell="C9" activePane="bottomRight" state="frozen"/>
      <selection pane="topRight" activeCell="C1" sqref="C1"/>
      <selection pane="bottomLeft" activeCell="A9" sqref="A9"/>
      <selection pane="bottomRight"/>
    </sheetView>
  </sheetViews>
  <sheetFormatPr defaultColWidth="8.6328125" defaultRowHeight="14.5" x14ac:dyDescent="0.35"/>
  <cols>
    <col min="1" max="1" width="10" style="14" customWidth="1"/>
    <col min="2" max="2" width="18" style="14" customWidth="1"/>
    <col min="3" max="3" width="8" style="14" customWidth="1"/>
    <col min="4" max="4" width="11" style="14" customWidth="1"/>
    <col min="5" max="5" width="14" style="14" customWidth="1"/>
    <col min="6" max="6" width="28" style="14" customWidth="1"/>
    <col min="7" max="7" width="14" style="14" customWidth="1"/>
    <col min="8" max="8" width="30" style="14" customWidth="1"/>
    <col min="9" max="10" width="26" style="14" customWidth="1"/>
    <col min="12" max="13" width="20" style="14" customWidth="1"/>
  </cols>
  <sheetData>
    <row r="1" spans="1:13" ht="17.25" customHeight="1" x14ac:dyDescent="0.35">
      <c r="A1" s="59" t="s">
        <v>1081</v>
      </c>
      <c r="B1" s="15"/>
      <c r="C1" s="15"/>
      <c r="D1" s="15"/>
      <c r="E1" s="15"/>
      <c r="F1" s="15"/>
      <c r="G1" s="15"/>
      <c r="H1" s="15"/>
      <c r="I1" s="15"/>
      <c r="J1" s="15"/>
      <c r="K1" s="15"/>
      <c r="L1" s="27" t="str">
        <f>HYPERLINK("#TRANGCHU!A1","⬅ Về Trang chủ")</f>
        <v>⬅ Về Trang chủ</v>
      </c>
      <c r="M1" s="27" t="str">
        <f>HYPERLINK("#HUONGDAN!A1","📖 Về Hướng dẫn")</f>
        <v>📖 Về Hướng dẫn</v>
      </c>
    </row>
    <row r="2" spans="1:13" ht="15" customHeight="1" x14ac:dyDescent="0.3">
      <c r="A2" s="28" t="s">
        <v>1082</v>
      </c>
      <c r="B2" s="15"/>
      <c r="C2" s="15"/>
      <c r="D2" s="15"/>
      <c r="E2" s="15"/>
      <c r="F2" s="15"/>
      <c r="G2" s="15"/>
      <c r="H2" s="15"/>
      <c r="I2" s="15"/>
      <c r="J2" s="15"/>
      <c r="K2" s="15"/>
      <c r="L2" s="15"/>
      <c r="M2" s="15"/>
    </row>
    <row r="3" spans="1:13" ht="15" customHeight="1" x14ac:dyDescent="0.3">
      <c r="A3" s="15"/>
      <c r="B3" s="15"/>
      <c r="C3" s="15"/>
      <c r="D3" s="15"/>
      <c r="E3" s="15"/>
      <c r="F3" s="15"/>
      <c r="G3" s="15"/>
      <c r="H3" s="15"/>
      <c r="I3" s="15"/>
      <c r="J3" s="15"/>
      <c r="K3" s="15"/>
      <c r="L3" s="15"/>
      <c r="M3" s="15"/>
    </row>
    <row r="4" spans="1:13" ht="15" customHeight="1" x14ac:dyDescent="0.3">
      <c r="A4" s="67" t="s">
        <v>1083</v>
      </c>
      <c r="B4" s="15"/>
      <c r="C4" s="15"/>
      <c r="D4" s="15"/>
      <c r="E4" s="15"/>
      <c r="F4" s="15"/>
      <c r="G4" s="15"/>
      <c r="H4" s="15"/>
      <c r="I4" s="15"/>
      <c r="J4" s="15"/>
      <c r="K4" s="15"/>
      <c r="L4" s="15"/>
      <c r="M4" s="15"/>
    </row>
    <row r="5" spans="1:13" ht="15" customHeight="1" x14ac:dyDescent="0.3">
      <c r="A5" s="67" t="s">
        <v>1084</v>
      </c>
      <c r="B5" s="15"/>
      <c r="C5" s="15"/>
      <c r="D5" s="15"/>
      <c r="E5" s="15"/>
      <c r="F5" s="15"/>
      <c r="G5" s="15"/>
      <c r="H5" s="15"/>
      <c r="I5" s="15"/>
      <c r="J5" s="15"/>
      <c r="K5" s="15"/>
      <c r="L5" s="15"/>
      <c r="M5" s="15"/>
    </row>
    <row r="6" spans="1:13" ht="15" customHeight="1" x14ac:dyDescent="0.3">
      <c r="A6" s="67" t="s">
        <v>1085</v>
      </c>
      <c r="B6" s="15"/>
      <c r="C6" s="15"/>
      <c r="D6" s="15"/>
      <c r="E6" s="15"/>
      <c r="F6" s="15"/>
      <c r="G6" s="15"/>
      <c r="H6" s="15"/>
      <c r="I6" s="15"/>
      <c r="J6" s="15"/>
      <c r="K6" s="15"/>
      <c r="L6" s="15"/>
      <c r="M6" s="15"/>
    </row>
    <row r="7" spans="1:13" ht="15" customHeight="1" x14ac:dyDescent="0.3">
      <c r="A7" s="15"/>
      <c r="B7" s="15"/>
      <c r="C7" s="15"/>
      <c r="D7" s="15"/>
      <c r="E7" s="15"/>
      <c r="F7" s="15"/>
      <c r="G7" s="15"/>
      <c r="H7" s="15"/>
      <c r="I7" s="15"/>
      <c r="J7" s="15"/>
      <c r="K7" s="15"/>
      <c r="L7" s="15"/>
      <c r="M7" s="15"/>
    </row>
    <row r="8" spans="1:13" ht="23.25" customHeight="1" x14ac:dyDescent="0.3">
      <c r="A8" s="60" t="s">
        <v>1086</v>
      </c>
      <c r="B8" s="60" t="s">
        <v>1087</v>
      </c>
      <c r="C8" s="60" t="s">
        <v>1088</v>
      </c>
      <c r="D8" s="60" t="s">
        <v>1028</v>
      </c>
      <c r="E8" s="60" t="s">
        <v>1089</v>
      </c>
      <c r="F8" s="60" t="s">
        <v>1090</v>
      </c>
      <c r="G8" s="60" t="s">
        <v>1091</v>
      </c>
      <c r="H8" s="60" t="s">
        <v>1092</v>
      </c>
      <c r="I8" s="60" t="s">
        <v>1093</v>
      </c>
      <c r="J8" s="60" t="s">
        <v>1094</v>
      </c>
      <c r="K8" s="15"/>
      <c r="L8" s="15"/>
      <c r="M8" s="15"/>
    </row>
    <row r="9" spans="1:13" ht="15" customHeight="1" x14ac:dyDescent="0.3">
      <c r="A9" s="49"/>
      <c r="B9" s="49"/>
      <c r="C9" s="49"/>
      <c r="D9" s="49"/>
      <c r="E9" s="49"/>
      <c r="F9" s="49"/>
      <c r="G9" s="49"/>
      <c r="H9" s="49"/>
      <c r="I9" s="49"/>
      <c r="J9" s="49"/>
      <c r="K9" s="15"/>
      <c r="L9" s="15"/>
      <c r="M9" s="15"/>
    </row>
    <row r="10" spans="1:13" ht="15" customHeight="1" x14ac:dyDescent="0.3">
      <c r="A10" s="49"/>
      <c r="B10" s="49"/>
      <c r="C10" s="49"/>
      <c r="D10" s="49"/>
      <c r="E10" s="49"/>
      <c r="F10" s="49"/>
      <c r="G10" s="49"/>
      <c r="H10" s="49"/>
      <c r="I10" s="49"/>
      <c r="J10" s="49"/>
      <c r="K10" s="15"/>
      <c r="L10" s="15"/>
      <c r="M10" s="15"/>
    </row>
    <row r="11" spans="1:13" ht="15" customHeight="1" x14ac:dyDescent="0.3">
      <c r="A11" s="49"/>
      <c r="B11" s="49"/>
      <c r="C11" s="49"/>
      <c r="D11" s="49"/>
      <c r="E11" s="49"/>
      <c r="F11" s="49"/>
      <c r="G11" s="49"/>
      <c r="H11" s="49"/>
      <c r="I11" s="49"/>
      <c r="J11" s="49"/>
      <c r="K11" s="15"/>
      <c r="L11" s="15"/>
      <c r="M11" s="15"/>
    </row>
    <row r="12" spans="1:13" ht="15" customHeight="1" x14ac:dyDescent="0.3">
      <c r="A12" s="49"/>
      <c r="B12" s="49"/>
      <c r="C12" s="49"/>
      <c r="D12" s="49"/>
      <c r="E12" s="49"/>
      <c r="F12" s="49"/>
      <c r="G12" s="49"/>
      <c r="H12" s="49"/>
      <c r="I12" s="49"/>
      <c r="J12" s="49"/>
      <c r="K12" s="15"/>
      <c r="L12" s="15"/>
      <c r="M12" s="15"/>
    </row>
    <row r="13" spans="1:13" ht="15" customHeight="1" x14ac:dyDescent="0.3">
      <c r="A13" s="49"/>
      <c r="B13" s="49"/>
      <c r="C13" s="49"/>
      <c r="D13" s="49"/>
      <c r="E13" s="49"/>
      <c r="F13" s="49"/>
      <c r="G13" s="49"/>
      <c r="H13" s="49"/>
      <c r="I13" s="49"/>
      <c r="J13" s="49"/>
      <c r="K13" s="15"/>
      <c r="L13" s="15"/>
      <c r="M13" s="15"/>
    </row>
    <row r="14" spans="1:13" ht="15" customHeight="1" x14ac:dyDescent="0.3">
      <c r="A14" s="49"/>
      <c r="B14" s="49"/>
      <c r="C14" s="49"/>
      <c r="D14" s="49"/>
      <c r="E14" s="49"/>
      <c r="F14" s="49"/>
      <c r="G14" s="49"/>
      <c r="H14" s="49"/>
      <c r="I14" s="49"/>
      <c r="J14" s="49"/>
      <c r="K14" s="15"/>
      <c r="L14" s="15"/>
      <c r="M14" s="15"/>
    </row>
    <row r="15" spans="1:13" ht="15" customHeight="1" x14ac:dyDescent="0.3">
      <c r="A15" s="49"/>
      <c r="B15" s="49"/>
      <c r="C15" s="49"/>
      <c r="D15" s="49"/>
      <c r="E15" s="49"/>
      <c r="F15" s="49"/>
      <c r="G15" s="49"/>
      <c r="H15" s="49"/>
      <c r="I15" s="49"/>
      <c r="J15" s="49"/>
      <c r="K15" s="15"/>
      <c r="L15" s="15"/>
      <c r="M15" s="15"/>
    </row>
    <row r="16" spans="1:13" ht="15" customHeight="1" x14ac:dyDescent="0.3">
      <c r="A16" s="49"/>
      <c r="B16" s="49"/>
      <c r="C16" s="49"/>
      <c r="D16" s="49"/>
      <c r="E16" s="49"/>
      <c r="F16" s="49"/>
      <c r="G16" s="49"/>
      <c r="H16" s="49"/>
      <c r="I16" s="49"/>
      <c r="J16" s="49"/>
      <c r="K16" s="15"/>
      <c r="L16" s="15"/>
      <c r="M16" s="15"/>
    </row>
    <row r="17" spans="1:13" ht="15" customHeight="1" x14ac:dyDescent="0.3">
      <c r="A17" s="49"/>
      <c r="B17" s="49"/>
      <c r="C17" s="49"/>
      <c r="D17" s="49"/>
      <c r="E17" s="49"/>
      <c r="F17" s="49"/>
      <c r="G17" s="49"/>
      <c r="H17" s="49"/>
      <c r="I17" s="49"/>
      <c r="J17" s="49"/>
      <c r="K17" s="15"/>
      <c r="L17" s="15"/>
      <c r="M17" s="15"/>
    </row>
    <row r="18" spans="1:13" ht="15" customHeight="1" x14ac:dyDescent="0.3">
      <c r="A18" s="49"/>
      <c r="B18" s="49"/>
      <c r="C18" s="49"/>
      <c r="D18" s="49"/>
      <c r="E18" s="49"/>
      <c r="F18" s="49"/>
      <c r="G18" s="49"/>
      <c r="H18" s="49"/>
      <c r="I18" s="49"/>
      <c r="J18" s="49"/>
      <c r="K18" s="15"/>
      <c r="L18" s="15"/>
      <c r="M18" s="15"/>
    </row>
    <row r="19" spans="1:13" ht="15" customHeight="1" x14ac:dyDescent="0.3">
      <c r="A19" s="49"/>
      <c r="B19" s="49"/>
      <c r="C19" s="49"/>
      <c r="D19" s="49"/>
      <c r="E19" s="49"/>
      <c r="F19" s="49"/>
      <c r="G19" s="49"/>
      <c r="H19" s="49"/>
      <c r="I19" s="49"/>
      <c r="J19" s="49"/>
      <c r="K19" s="15"/>
      <c r="L19" s="15"/>
      <c r="M19" s="15"/>
    </row>
    <row r="20" spans="1:13" ht="15" customHeight="1" x14ac:dyDescent="0.3">
      <c r="A20" s="49"/>
      <c r="B20" s="49"/>
      <c r="C20" s="49"/>
      <c r="D20" s="49"/>
      <c r="E20" s="49"/>
      <c r="F20" s="49"/>
      <c r="G20" s="49"/>
      <c r="H20" s="49"/>
      <c r="I20" s="49"/>
      <c r="J20" s="49"/>
      <c r="K20" s="15"/>
      <c r="L20" s="15"/>
      <c r="M20" s="15"/>
    </row>
    <row r="21" spans="1:13" ht="15" customHeight="1" x14ac:dyDescent="0.3">
      <c r="A21" s="49"/>
      <c r="B21" s="49"/>
      <c r="C21" s="49"/>
      <c r="D21" s="49"/>
      <c r="E21" s="49"/>
      <c r="F21" s="49"/>
      <c r="G21" s="49"/>
      <c r="H21" s="49"/>
      <c r="I21" s="49"/>
      <c r="J21" s="49"/>
      <c r="K21" s="15"/>
      <c r="L21" s="15"/>
      <c r="M21" s="15"/>
    </row>
    <row r="22" spans="1:13" ht="15" customHeight="1" x14ac:dyDescent="0.3">
      <c r="A22" s="49"/>
      <c r="B22" s="49"/>
      <c r="C22" s="49"/>
      <c r="D22" s="49"/>
      <c r="E22" s="49"/>
      <c r="F22" s="49"/>
      <c r="G22" s="49"/>
      <c r="H22" s="49"/>
      <c r="I22" s="49"/>
      <c r="J22" s="49"/>
      <c r="K22" s="15"/>
      <c r="L22" s="15"/>
      <c r="M22" s="15"/>
    </row>
    <row r="23" spans="1:13" ht="15" customHeight="1" x14ac:dyDescent="0.3">
      <c r="A23" s="49"/>
      <c r="B23" s="49"/>
      <c r="C23" s="49"/>
      <c r="D23" s="49"/>
      <c r="E23" s="49"/>
      <c r="F23" s="49"/>
      <c r="G23" s="49"/>
      <c r="H23" s="49"/>
      <c r="I23" s="49"/>
      <c r="J23" s="49"/>
      <c r="K23" s="15"/>
      <c r="L23" s="15"/>
      <c r="M23" s="15"/>
    </row>
    <row r="24" spans="1:13" ht="15" customHeight="1" x14ac:dyDescent="0.3">
      <c r="A24" s="49"/>
      <c r="B24" s="49"/>
      <c r="C24" s="49"/>
      <c r="D24" s="49"/>
      <c r="E24" s="49"/>
      <c r="F24" s="49"/>
      <c r="G24" s="49"/>
      <c r="H24" s="49"/>
      <c r="I24" s="49"/>
      <c r="J24" s="49"/>
      <c r="K24" s="15"/>
      <c r="L24" s="15"/>
      <c r="M24" s="15"/>
    </row>
    <row r="25" spans="1:13" ht="15" customHeight="1" x14ac:dyDescent="0.3">
      <c r="A25" s="49"/>
      <c r="B25" s="49"/>
      <c r="C25" s="49"/>
      <c r="D25" s="49"/>
      <c r="E25" s="49"/>
      <c r="F25" s="49"/>
      <c r="G25" s="49"/>
      <c r="H25" s="49"/>
      <c r="I25" s="49"/>
      <c r="J25" s="49"/>
      <c r="K25" s="15"/>
      <c r="L25" s="15"/>
      <c r="M25" s="15"/>
    </row>
    <row r="26" spans="1:13" ht="15" customHeight="1" x14ac:dyDescent="0.3">
      <c r="A26" s="49"/>
      <c r="B26" s="49"/>
      <c r="C26" s="49"/>
      <c r="D26" s="49"/>
      <c r="E26" s="49"/>
      <c r="F26" s="49"/>
      <c r="G26" s="49"/>
      <c r="H26" s="49"/>
      <c r="I26" s="49"/>
      <c r="J26" s="49"/>
      <c r="K26" s="15"/>
      <c r="L26" s="15"/>
      <c r="M26" s="15"/>
    </row>
    <row r="27" spans="1:13" ht="15" customHeight="1" x14ac:dyDescent="0.3">
      <c r="A27" s="49"/>
      <c r="B27" s="49"/>
      <c r="C27" s="49"/>
      <c r="D27" s="49"/>
      <c r="E27" s="49"/>
      <c r="F27" s="49"/>
      <c r="G27" s="49"/>
      <c r="H27" s="49"/>
      <c r="I27" s="49"/>
      <c r="J27" s="49"/>
      <c r="K27" s="15"/>
      <c r="L27" s="15"/>
      <c r="M27" s="15"/>
    </row>
    <row r="28" spans="1:13" ht="15" customHeight="1" x14ac:dyDescent="0.3">
      <c r="A28" s="49"/>
      <c r="B28" s="49"/>
      <c r="C28" s="49"/>
      <c r="D28" s="49"/>
      <c r="E28" s="49"/>
      <c r="F28" s="49"/>
      <c r="G28" s="49"/>
      <c r="H28" s="49"/>
      <c r="I28" s="49"/>
      <c r="J28" s="49"/>
      <c r="K28" s="15"/>
      <c r="L28" s="15"/>
      <c r="M28" s="15"/>
    </row>
    <row r="29" spans="1:13" ht="15" customHeight="1" x14ac:dyDescent="0.3">
      <c r="A29" s="49"/>
      <c r="B29" s="49"/>
      <c r="C29" s="49"/>
      <c r="D29" s="49"/>
      <c r="E29" s="49"/>
      <c r="F29" s="49"/>
      <c r="G29" s="49"/>
      <c r="H29" s="49"/>
      <c r="I29" s="49"/>
      <c r="J29" s="49"/>
      <c r="K29" s="15"/>
      <c r="L29" s="15"/>
      <c r="M29" s="15"/>
    </row>
    <row r="30" spans="1:13" ht="15" customHeight="1" x14ac:dyDescent="0.3">
      <c r="A30" s="49"/>
      <c r="B30" s="49"/>
      <c r="C30" s="49"/>
      <c r="D30" s="49"/>
      <c r="E30" s="49"/>
      <c r="F30" s="49"/>
      <c r="G30" s="49"/>
      <c r="H30" s="49"/>
      <c r="I30" s="49"/>
      <c r="J30" s="49"/>
      <c r="K30" s="15"/>
      <c r="L30" s="15"/>
      <c r="M30" s="15"/>
    </row>
    <row r="31" spans="1:13" ht="15" customHeight="1" x14ac:dyDescent="0.3">
      <c r="A31" s="49"/>
      <c r="B31" s="49"/>
      <c r="C31" s="49"/>
      <c r="D31" s="49"/>
      <c r="E31" s="49"/>
      <c r="F31" s="49"/>
      <c r="G31" s="49"/>
      <c r="H31" s="49"/>
      <c r="I31" s="49"/>
      <c r="J31" s="49"/>
      <c r="K31" s="15"/>
      <c r="L31" s="15"/>
      <c r="M31" s="15"/>
    </row>
    <row r="32" spans="1:13" ht="15" customHeight="1" x14ac:dyDescent="0.3">
      <c r="A32" s="49"/>
      <c r="B32" s="49"/>
      <c r="C32" s="49"/>
      <c r="D32" s="49"/>
      <c r="E32" s="49"/>
      <c r="F32" s="49"/>
      <c r="G32" s="49"/>
      <c r="H32" s="49"/>
      <c r="I32" s="49"/>
      <c r="J32" s="49"/>
      <c r="K32" s="15"/>
      <c r="L32" s="15"/>
      <c r="M32" s="15"/>
    </row>
    <row r="33" spans="1:13" ht="15" customHeight="1" x14ac:dyDescent="0.3">
      <c r="A33" s="49"/>
      <c r="B33" s="49"/>
      <c r="C33" s="49"/>
      <c r="D33" s="49"/>
      <c r="E33" s="49"/>
      <c r="F33" s="49"/>
      <c r="G33" s="49"/>
      <c r="H33" s="49"/>
      <c r="I33" s="49"/>
      <c r="J33" s="49"/>
      <c r="K33" s="15"/>
      <c r="L33" s="15"/>
      <c r="M33" s="15"/>
    </row>
    <row r="34" spans="1:13" ht="15" customHeight="1" x14ac:dyDescent="0.3">
      <c r="A34" s="49"/>
      <c r="B34" s="49"/>
      <c r="C34" s="49"/>
      <c r="D34" s="49"/>
      <c r="E34" s="49"/>
      <c r="F34" s="49"/>
      <c r="G34" s="49"/>
      <c r="H34" s="49"/>
      <c r="I34" s="49"/>
      <c r="J34" s="49"/>
      <c r="K34" s="15"/>
      <c r="L34" s="15"/>
      <c r="M34" s="15"/>
    </row>
    <row r="35" spans="1:13" ht="15" customHeight="1" x14ac:dyDescent="0.3">
      <c r="A35" s="49"/>
      <c r="B35" s="49"/>
      <c r="C35" s="49"/>
      <c r="D35" s="49"/>
      <c r="E35" s="49"/>
      <c r="F35" s="49"/>
      <c r="G35" s="49"/>
      <c r="H35" s="49"/>
      <c r="I35" s="49"/>
      <c r="J35" s="49"/>
      <c r="K35" s="15"/>
      <c r="L35" s="15"/>
      <c r="M35" s="15"/>
    </row>
    <row r="36" spans="1:13" ht="15" customHeight="1" x14ac:dyDescent="0.3">
      <c r="A36" s="49"/>
      <c r="B36" s="49"/>
      <c r="C36" s="49"/>
      <c r="D36" s="49"/>
      <c r="E36" s="49"/>
      <c r="F36" s="49"/>
      <c r="G36" s="49"/>
      <c r="H36" s="49"/>
      <c r="I36" s="49"/>
      <c r="J36" s="49"/>
      <c r="K36" s="15"/>
      <c r="L36" s="15"/>
      <c r="M36" s="15"/>
    </row>
    <row r="37" spans="1:13" ht="15" customHeight="1" x14ac:dyDescent="0.3">
      <c r="A37" s="49"/>
      <c r="B37" s="49"/>
      <c r="C37" s="49"/>
      <c r="D37" s="49"/>
      <c r="E37" s="49"/>
      <c r="F37" s="49"/>
      <c r="G37" s="49"/>
      <c r="H37" s="49"/>
      <c r="I37" s="49"/>
      <c r="J37" s="49"/>
      <c r="K37" s="15"/>
      <c r="L37" s="15"/>
      <c r="M37" s="15"/>
    </row>
    <row r="38" spans="1:13" ht="15" customHeight="1" x14ac:dyDescent="0.3">
      <c r="A38" s="49"/>
      <c r="B38" s="49"/>
      <c r="C38" s="49"/>
      <c r="D38" s="49"/>
      <c r="E38" s="49"/>
      <c r="F38" s="49"/>
      <c r="G38" s="49"/>
      <c r="H38" s="49"/>
      <c r="I38" s="49"/>
      <c r="J38" s="49"/>
      <c r="K38" s="15"/>
      <c r="L38" s="15"/>
      <c r="M38" s="15"/>
    </row>
  </sheetData>
  <dataValidations count="2">
    <dataValidation type="list" allowBlank="1" sqref="C9:C300" xr:uid="{00000000-0002-0000-1000-000000000000}">
      <formula1>"HK1,HK2"</formula1>
      <formula2>0</formula2>
    </dataValidation>
    <dataValidation type="list" allowBlank="1" sqref="E9:E300" xr:uid="{00000000-0002-0000-1000-000001000000}">
      <formula1>"Ảnh,Sản phẩm,Câu nói,Video"</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sheetPr>
  <dimension ref="A1:H28"/>
  <sheetViews>
    <sheetView showGridLines="0" zoomScaleNormal="100" workbookViewId="0"/>
  </sheetViews>
  <sheetFormatPr defaultColWidth="8.6328125" defaultRowHeight="14.5" x14ac:dyDescent="0.35"/>
  <cols>
    <col min="1" max="1" width="26" style="14" customWidth="1"/>
    <col min="2" max="4" width="16" style="14" customWidth="1"/>
    <col min="5" max="5" width="18" style="14" customWidth="1"/>
    <col min="7" max="8" width="20" style="14" customWidth="1"/>
  </cols>
  <sheetData>
    <row r="1" spans="1:8" ht="17.25" customHeight="1" x14ac:dyDescent="0.35">
      <c r="A1" s="68" t="s">
        <v>1095</v>
      </c>
      <c r="B1" s="15"/>
      <c r="C1" s="15"/>
      <c r="D1" s="15"/>
      <c r="E1" s="15"/>
      <c r="F1" s="15"/>
      <c r="G1" s="27" t="str">
        <f>HYPERLINK("#TRANGCHU!A1","⬅ Về Trang chủ")</f>
        <v>⬅ Về Trang chủ</v>
      </c>
      <c r="H1" s="27" t="str">
        <f>HYPERLINK("#HUONGDAN!A1","📖 Về Hướng dẫn")</f>
        <v>📖 Về Hướng dẫn</v>
      </c>
    </row>
    <row r="2" spans="1:8" ht="15" customHeight="1" x14ac:dyDescent="0.3">
      <c r="A2" s="28" t="s">
        <v>1096</v>
      </c>
      <c r="B2" s="15"/>
      <c r="C2" s="15"/>
      <c r="D2" s="15"/>
      <c r="E2" s="15"/>
      <c r="F2" s="15"/>
      <c r="G2" s="15"/>
      <c r="H2" s="15"/>
    </row>
    <row r="3" spans="1:8" ht="15" customHeight="1" x14ac:dyDescent="0.3">
      <c r="A3" s="15"/>
      <c r="B3" s="15"/>
      <c r="C3" s="15"/>
      <c r="D3" s="15"/>
      <c r="E3" s="15"/>
      <c r="F3" s="15"/>
      <c r="G3" s="15"/>
      <c r="H3" s="15"/>
    </row>
    <row r="4" spans="1:8" ht="15" customHeight="1" x14ac:dyDescent="0.3">
      <c r="A4" s="69" t="s">
        <v>1097</v>
      </c>
      <c r="B4" s="15"/>
      <c r="C4" s="15"/>
      <c r="D4" s="15"/>
      <c r="E4" s="15"/>
      <c r="F4" s="15"/>
      <c r="G4" s="15"/>
      <c r="H4" s="15"/>
    </row>
    <row r="5" spans="1:8" ht="15" customHeight="1" x14ac:dyDescent="0.3">
      <c r="A5" s="64" t="s">
        <v>1098</v>
      </c>
      <c r="B5" s="49">
        <f>COUNTA(BANGKIEMLOP!B6:B30)</f>
        <v>0</v>
      </c>
      <c r="C5" s="15"/>
      <c r="D5" s="15"/>
      <c r="E5" s="15"/>
      <c r="F5" s="15"/>
      <c r="G5" s="15"/>
      <c r="H5" s="15"/>
    </row>
    <row r="6" spans="1:8" ht="15" customHeight="1" x14ac:dyDescent="0.3">
      <c r="A6" s="64" t="s">
        <v>1099</v>
      </c>
      <c r="B6" s="49">
        <f>COUNTIF(BANGKIEMLOP!S6:S30,"&gt;0")</f>
        <v>0</v>
      </c>
      <c r="C6" s="15"/>
      <c r="D6" s="15"/>
      <c r="E6" s="15"/>
      <c r="F6" s="15"/>
      <c r="G6" s="15"/>
      <c r="H6" s="15"/>
    </row>
    <row r="7" spans="1:8" ht="15" customHeight="1" x14ac:dyDescent="0.3">
      <c r="A7" s="64" t="s">
        <v>1100</v>
      </c>
      <c r="B7" s="70">
        <f>IF(B5=0,0,B6/B5)</f>
        <v>0</v>
      </c>
      <c r="C7" s="15"/>
      <c r="D7" s="15"/>
      <c r="E7" s="15"/>
      <c r="F7" s="15"/>
      <c r="G7" s="15"/>
      <c r="H7" s="15"/>
    </row>
    <row r="8" spans="1:8" ht="15" customHeight="1" x14ac:dyDescent="0.3">
      <c r="A8" s="15"/>
      <c r="B8" s="15"/>
      <c r="C8" s="15"/>
      <c r="D8" s="15"/>
      <c r="E8" s="15"/>
      <c r="F8" s="15"/>
      <c r="G8" s="15"/>
      <c r="H8" s="15"/>
    </row>
    <row r="9" spans="1:8" ht="15" customHeight="1" x14ac:dyDescent="0.3">
      <c r="A9" s="69" t="s">
        <v>1101</v>
      </c>
      <c r="B9" s="15"/>
      <c r="C9" s="15"/>
      <c r="D9" s="15"/>
      <c r="E9" s="15"/>
      <c r="F9" s="15"/>
      <c r="G9" s="15"/>
      <c r="H9" s="15"/>
    </row>
    <row r="10" spans="1:8" ht="23.25" customHeight="1" x14ac:dyDescent="0.3">
      <c r="A10" s="71" t="s">
        <v>1102</v>
      </c>
      <c r="B10" s="71" t="s">
        <v>1015</v>
      </c>
      <c r="C10" s="71" t="s">
        <v>1014</v>
      </c>
      <c r="D10" s="71" t="s">
        <v>1013</v>
      </c>
      <c r="E10" s="71" t="s">
        <v>1016</v>
      </c>
      <c r="F10" s="15"/>
      <c r="G10" s="15"/>
      <c r="H10" s="15"/>
    </row>
    <row r="11" spans="1:8" ht="15" customHeight="1" x14ac:dyDescent="0.3">
      <c r="A11" s="49" t="str">
        <f>BANGKIEMLOP!F5</f>
        <v>Mã 1</v>
      </c>
      <c r="B11" s="49">
        <f>BANGKIEMLOP!F35</f>
        <v>0</v>
      </c>
      <c r="C11" s="49">
        <f>BANGKIEMLOP!F34</f>
        <v>0</v>
      </c>
      <c r="D11" s="49">
        <f>BANGKIEMLOP!F33</f>
        <v>0</v>
      </c>
      <c r="E11" s="49">
        <f>BANGKIEMLOP!F36</f>
        <v>0</v>
      </c>
      <c r="F11" s="15"/>
      <c r="G11" s="15"/>
      <c r="H11" s="15"/>
    </row>
    <row r="12" spans="1:8" ht="15" customHeight="1" x14ac:dyDescent="0.3">
      <c r="A12" s="49" t="str">
        <f>BANGKIEMLOP!G5</f>
        <v>Mã 2</v>
      </c>
      <c r="B12" s="49">
        <f>BANGKIEMLOP!G35</f>
        <v>0</v>
      </c>
      <c r="C12" s="49">
        <f>BANGKIEMLOP!G34</f>
        <v>0</v>
      </c>
      <c r="D12" s="49">
        <f>BANGKIEMLOP!G33</f>
        <v>0</v>
      </c>
      <c r="E12" s="49">
        <f>BANGKIEMLOP!G36</f>
        <v>0</v>
      </c>
      <c r="F12" s="15"/>
      <c r="G12" s="15"/>
      <c r="H12" s="15"/>
    </row>
    <row r="13" spans="1:8" ht="15" customHeight="1" x14ac:dyDescent="0.3">
      <c r="A13" s="49" t="str">
        <f>BANGKIEMLOP!H5</f>
        <v>Mã 3</v>
      </c>
      <c r="B13" s="49">
        <f>BANGKIEMLOP!H35</f>
        <v>0</v>
      </c>
      <c r="C13" s="49">
        <f>BANGKIEMLOP!H34</f>
        <v>0</v>
      </c>
      <c r="D13" s="49">
        <f>BANGKIEMLOP!H33</f>
        <v>0</v>
      </c>
      <c r="E13" s="49">
        <f>BANGKIEMLOP!H36</f>
        <v>0</v>
      </c>
      <c r="F13" s="15"/>
      <c r="G13" s="15"/>
      <c r="H13" s="15"/>
    </row>
    <row r="14" spans="1:8" ht="15" customHeight="1" x14ac:dyDescent="0.3">
      <c r="A14" s="49" t="str">
        <f>BANGKIEMLOP!I5</f>
        <v>Mã 4</v>
      </c>
      <c r="B14" s="49">
        <f>BANGKIEMLOP!I35</f>
        <v>0</v>
      </c>
      <c r="C14" s="49">
        <f>BANGKIEMLOP!I34</f>
        <v>0</v>
      </c>
      <c r="D14" s="49">
        <f>BANGKIEMLOP!I33</f>
        <v>0</v>
      </c>
      <c r="E14" s="49">
        <f>BANGKIEMLOP!I36</f>
        <v>0</v>
      </c>
      <c r="F14" s="15"/>
      <c r="G14" s="15"/>
      <c r="H14" s="15"/>
    </row>
    <row r="15" spans="1:8" ht="15" customHeight="1" x14ac:dyDescent="0.3">
      <c r="A15" s="49" t="str">
        <f>BANGKIEMLOP!J5</f>
        <v>Mã 5</v>
      </c>
      <c r="B15" s="49">
        <f>BANGKIEMLOP!J35</f>
        <v>0</v>
      </c>
      <c r="C15" s="49">
        <f>BANGKIEMLOP!J34</f>
        <v>0</v>
      </c>
      <c r="D15" s="49">
        <f>BANGKIEMLOP!J33</f>
        <v>0</v>
      </c>
      <c r="E15" s="49">
        <f>BANGKIEMLOP!J36</f>
        <v>0</v>
      </c>
      <c r="F15" s="15"/>
      <c r="G15" s="15"/>
      <c r="H15" s="15"/>
    </row>
    <row r="16" spans="1:8" ht="15" customHeight="1" x14ac:dyDescent="0.3">
      <c r="A16" s="49" t="str">
        <f>BANGKIEMLOP!K5</f>
        <v>Mã 6</v>
      </c>
      <c r="B16" s="49">
        <f>BANGKIEMLOP!K35</f>
        <v>0</v>
      </c>
      <c r="C16" s="49">
        <f>BANGKIEMLOP!K34</f>
        <v>0</v>
      </c>
      <c r="D16" s="49">
        <f>BANGKIEMLOP!K33</f>
        <v>0</v>
      </c>
      <c r="E16" s="49">
        <f>BANGKIEMLOP!K36</f>
        <v>0</v>
      </c>
      <c r="F16" s="15"/>
      <c r="G16" s="15"/>
      <c r="H16" s="15"/>
    </row>
    <row r="17" spans="1:8" ht="15" customHeight="1" x14ac:dyDescent="0.3">
      <c r="A17" s="49" t="str">
        <f>BANGKIEMLOP!L5</f>
        <v>Mã 7</v>
      </c>
      <c r="B17" s="49">
        <f>BANGKIEMLOP!L35</f>
        <v>0</v>
      </c>
      <c r="C17" s="49">
        <f>BANGKIEMLOP!L34</f>
        <v>0</v>
      </c>
      <c r="D17" s="49">
        <f>BANGKIEMLOP!L33</f>
        <v>0</v>
      </c>
      <c r="E17" s="49">
        <f>BANGKIEMLOP!L36</f>
        <v>0</v>
      </c>
      <c r="F17" s="15"/>
      <c r="G17" s="15"/>
      <c r="H17" s="15"/>
    </row>
    <row r="18" spans="1:8" ht="15" customHeight="1" x14ac:dyDescent="0.3">
      <c r="A18" s="49" t="str">
        <f>BANGKIEMLOP!M5</f>
        <v>Mã 8</v>
      </c>
      <c r="B18" s="49">
        <f>BANGKIEMLOP!M35</f>
        <v>0</v>
      </c>
      <c r="C18" s="49">
        <f>BANGKIEMLOP!M34</f>
        <v>0</v>
      </c>
      <c r="D18" s="49">
        <f>BANGKIEMLOP!M33</f>
        <v>0</v>
      </c>
      <c r="E18" s="49">
        <f>BANGKIEMLOP!M36</f>
        <v>0</v>
      </c>
      <c r="F18" s="15"/>
      <c r="G18" s="15"/>
      <c r="H18" s="15"/>
    </row>
    <row r="19" spans="1:8" ht="15" customHeight="1" x14ac:dyDescent="0.3">
      <c r="A19" s="49" t="str">
        <f>BANGKIEMLOP!N5</f>
        <v>Mã 9</v>
      </c>
      <c r="B19" s="49">
        <f>BANGKIEMLOP!N35</f>
        <v>0</v>
      </c>
      <c r="C19" s="49">
        <f>BANGKIEMLOP!N34</f>
        <v>0</v>
      </c>
      <c r="D19" s="49">
        <f>BANGKIEMLOP!N33</f>
        <v>0</v>
      </c>
      <c r="E19" s="49">
        <f>BANGKIEMLOP!N36</f>
        <v>0</v>
      </c>
      <c r="F19" s="15"/>
      <c r="G19" s="15"/>
      <c r="H19" s="15"/>
    </row>
    <row r="20" spans="1:8" ht="15" customHeight="1" x14ac:dyDescent="0.3">
      <c r="A20" s="49" t="str">
        <f>BANGKIEMLOP!O5</f>
        <v>Mã 10</v>
      </c>
      <c r="B20" s="49">
        <f>BANGKIEMLOP!O35</f>
        <v>0</v>
      </c>
      <c r="C20" s="49">
        <f>BANGKIEMLOP!O34</f>
        <v>0</v>
      </c>
      <c r="D20" s="49">
        <f>BANGKIEMLOP!O33</f>
        <v>0</v>
      </c>
      <c r="E20" s="49">
        <f>BANGKIEMLOP!O36</f>
        <v>0</v>
      </c>
      <c r="F20" s="15"/>
      <c r="G20" s="15"/>
      <c r="H20" s="15"/>
    </row>
    <row r="21" spans="1:8" ht="15" customHeight="1" x14ac:dyDescent="0.3">
      <c r="A21" s="15"/>
      <c r="B21" s="15"/>
      <c r="C21" s="15"/>
      <c r="D21" s="15"/>
      <c r="E21" s="15"/>
      <c r="F21" s="15"/>
      <c r="G21" s="15"/>
      <c r="H21" s="15"/>
    </row>
    <row r="22" spans="1:8" ht="15" customHeight="1" x14ac:dyDescent="0.3">
      <c r="A22" s="69" t="s">
        <v>1103</v>
      </c>
      <c r="B22" s="15"/>
      <c r="C22" s="15"/>
      <c r="D22" s="15"/>
      <c r="E22" s="15"/>
      <c r="F22" s="15"/>
      <c r="G22" s="15"/>
      <c r="H22" s="15"/>
    </row>
    <row r="23" spans="1:8" ht="15" customHeight="1" x14ac:dyDescent="0.3">
      <c r="A23" s="72" t="s">
        <v>1104</v>
      </c>
      <c r="B23" s="15"/>
      <c r="C23" s="15"/>
      <c r="D23" s="15"/>
      <c r="E23" s="15"/>
      <c r="F23" s="15"/>
      <c r="G23" s="15"/>
      <c r="H23" s="15"/>
    </row>
    <row r="24" spans="1:8" ht="15" customHeight="1" x14ac:dyDescent="0.3">
      <c r="A24" s="15"/>
      <c r="B24" s="15"/>
      <c r="C24" s="15"/>
      <c r="D24" s="15"/>
      <c r="E24" s="15"/>
      <c r="F24" s="15"/>
      <c r="G24" s="15"/>
      <c r="H24" s="15"/>
    </row>
    <row r="25" spans="1:8" ht="15" customHeight="1" x14ac:dyDescent="0.3">
      <c r="A25" s="69" t="s">
        <v>1105</v>
      </c>
      <c r="B25" s="15"/>
      <c r="C25" s="15"/>
      <c r="D25" s="15"/>
      <c r="E25" s="15"/>
      <c r="F25" s="15"/>
      <c r="G25" s="15"/>
      <c r="H25" s="15"/>
    </row>
    <row r="26" spans="1:8" ht="15" customHeight="1" x14ac:dyDescent="0.3">
      <c r="A26" s="49" t="str">
        <f>CONCATENATE("Năng lực cần chú ý nhất trong lớp: ",INDEX(A11:A20,MATCH(MAX(B11:B20),B11:B20,0))," (",MAX(B11:B20)," trẻ đang ở mức I)")</f>
        <v>Năng lực cần chú ý nhất trong lớp: Mã 1 (0 trẻ đang ở mức I)</v>
      </c>
      <c r="B26" s="15"/>
      <c r="C26" s="15"/>
      <c r="D26" s="15"/>
      <c r="E26" s="15"/>
      <c r="F26" s="15"/>
      <c r="G26" s="15"/>
      <c r="H26" s="15"/>
    </row>
    <row r="27" spans="1:8" ht="15" customHeight="1" x14ac:dyDescent="0.3">
      <c r="A27" s="15"/>
      <c r="B27" s="15"/>
      <c r="C27" s="15"/>
      <c r="D27" s="15"/>
      <c r="E27" s="15"/>
      <c r="F27" s="15"/>
      <c r="G27" s="15"/>
      <c r="H27" s="15"/>
    </row>
    <row r="28" spans="1:8" ht="15" customHeight="1" x14ac:dyDescent="0.3">
      <c r="A28" s="44" t="s">
        <v>1106</v>
      </c>
      <c r="B28" s="15"/>
      <c r="C28" s="15"/>
      <c r="D28" s="15"/>
      <c r="E28" s="15"/>
      <c r="F28" s="15"/>
      <c r="G28" s="15"/>
      <c r="H28" s="15"/>
    </row>
  </sheetData>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sheetPr>
  <dimension ref="A1:I37"/>
  <sheetViews>
    <sheetView showGridLines="0" zoomScaleNormal="100" workbookViewId="0"/>
  </sheetViews>
  <sheetFormatPr defaultColWidth="8.6328125" defaultRowHeight="14.5" x14ac:dyDescent="0.35"/>
  <cols>
    <col min="1" max="1" width="26" style="14" customWidth="1"/>
    <col min="2" max="3" width="20" style="14" customWidth="1"/>
    <col min="4" max="4" width="16" style="14" customWidth="1"/>
    <col min="5" max="5" width="14" style="14" customWidth="1"/>
    <col min="6" max="6" width="20" style="14" customWidth="1"/>
    <col min="8" max="9" width="20" style="14" customWidth="1"/>
  </cols>
  <sheetData>
    <row r="1" spans="1:9" ht="17.25" customHeight="1" x14ac:dyDescent="0.35">
      <c r="A1" s="68" t="s">
        <v>1107</v>
      </c>
      <c r="B1" s="15"/>
      <c r="C1" s="15"/>
      <c r="D1" s="15"/>
      <c r="E1" s="15"/>
      <c r="F1" s="15"/>
      <c r="G1" s="15"/>
      <c r="H1" s="27" t="str">
        <f>HYPERLINK("#TRANGCHU!A1","⬅ Về Trang chủ")</f>
        <v>⬅ Về Trang chủ</v>
      </c>
      <c r="I1" s="27" t="str">
        <f>HYPERLINK("#HUONGDAN!A1","📖 Về Hướng dẫn")</f>
        <v>📖 Về Hướng dẫn</v>
      </c>
    </row>
    <row r="2" spans="1:9" ht="15" customHeight="1" x14ac:dyDescent="0.3">
      <c r="A2" s="28" t="s">
        <v>1108</v>
      </c>
      <c r="B2" s="15"/>
      <c r="C2" s="15"/>
      <c r="D2" s="15"/>
      <c r="E2" s="15"/>
      <c r="F2" s="15"/>
      <c r="G2" s="15"/>
      <c r="H2" s="15"/>
      <c r="I2" s="15"/>
    </row>
    <row r="3" spans="1:9" ht="15" customHeight="1" x14ac:dyDescent="0.3">
      <c r="A3" s="44" t="s">
        <v>1109</v>
      </c>
      <c r="B3" s="15"/>
      <c r="C3" s="15"/>
      <c r="D3" s="15"/>
      <c r="E3" s="15"/>
      <c r="F3" s="15"/>
      <c r="G3" s="15"/>
      <c r="H3" s="15"/>
      <c r="I3" s="15"/>
    </row>
    <row r="4" spans="1:9" ht="15" customHeight="1" x14ac:dyDescent="0.3">
      <c r="A4" s="15"/>
      <c r="B4" s="15"/>
      <c r="C4" s="15"/>
      <c r="D4" s="15"/>
      <c r="E4" s="15"/>
      <c r="F4" s="15"/>
      <c r="G4" s="15"/>
      <c r="H4" s="15"/>
      <c r="I4" s="15"/>
    </row>
    <row r="5" spans="1:9" ht="15" customHeight="1" x14ac:dyDescent="0.3">
      <c r="A5" s="69" t="s">
        <v>1110</v>
      </c>
      <c r="B5" s="15"/>
      <c r="C5" s="15"/>
      <c r="D5" s="15"/>
      <c r="E5" s="15"/>
      <c r="F5" s="15"/>
      <c r="G5" s="15"/>
      <c r="H5" s="15"/>
      <c r="I5" s="15"/>
    </row>
    <row r="6" spans="1:9" ht="15" customHeight="1" x14ac:dyDescent="0.3">
      <c r="A6" s="71" t="s">
        <v>1111</v>
      </c>
      <c r="B6" s="71" t="s">
        <v>1112</v>
      </c>
      <c r="C6" s="71" t="s">
        <v>1113</v>
      </c>
      <c r="D6" s="71" t="s">
        <v>1114</v>
      </c>
      <c r="E6" s="71" t="s">
        <v>1115</v>
      </c>
      <c r="F6" s="15"/>
      <c r="G6" s="15"/>
      <c r="H6" s="15"/>
      <c r="I6" s="15"/>
    </row>
    <row r="7" spans="1:9" ht="15" customHeight="1" x14ac:dyDescent="0.3">
      <c r="A7" s="49" t="s">
        <v>1116</v>
      </c>
      <c r="B7" s="49">
        <f>COUNTA(BANGKIEMLOP!$B$6:$B$30)</f>
        <v>0</v>
      </c>
      <c r="C7" s="49">
        <f>COUNTIF(BANGKIEMLOP!$S$6:$S$30,"&gt;0")</f>
        <v>0</v>
      </c>
      <c r="D7" s="70">
        <f>IF(B7=0,0,C7/B7)</f>
        <v>0</v>
      </c>
      <c r="E7" s="49" t="str">
        <f>IF(D7=0,"⚠ CHƯA CẬP NHẬT",IF(D7&lt;0.5,"⚠ CẬP NHẬT THẤP","✓ Đã cập nhật"))</f>
        <v>⚠ CHƯA CẬP NHẬT</v>
      </c>
      <c r="F7" s="15"/>
      <c r="G7" s="15"/>
      <c r="H7" s="15"/>
      <c r="I7" s="15"/>
    </row>
    <row r="8" spans="1:9" ht="15" customHeight="1" x14ac:dyDescent="0.3">
      <c r="A8" s="15"/>
      <c r="B8" s="15"/>
      <c r="C8" s="15"/>
      <c r="D8" s="15"/>
      <c r="E8" s="15"/>
      <c r="F8" s="15"/>
      <c r="G8" s="15"/>
      <c r="H8" s="15"/>
      <c r="I8" s="15"/>
    </row>
    <row r="9" spans="1:9" ht="15" customHeight="1" x14ac:dyDescent="0.3">
      <c r="A9" s="69" t="s">
        <v>1117</v>
      </c>
      <c r="B9" s="15"/>
      <c r="C9" s="15"/>
      <c r="D9" s="15"/>
      <c r="E9" s="15"/>
      <c r="F9" s="15"/>
      <c r="G9" s="15"/>
      <c r="H9" s="15"/>
      <c r="I9" s="15"/>
    </row>
    <row r="10" spans="1:9" ht="23.25" customHeight="1" x14ac:dyDescent="0.3">
      <c r="A10" s="71" t="s">
        <v>1091</v>
      </c>
      <c r="B10" s="71" t="s">
        <v>1015</v>
      </c>
      <c r="C10" s="71" t="s">
        <v>1014</v>
      </c>
      <c r="D10" s="71" t="s">
        <v>1013</v>
      </c>
      <c r="E10" s="71" t="s">
        <v>1118</v>
      </c>
      <c r="F10" s="71" t="s">
        <v>1119</v>
      </c>
      <c r="G10" s="15"/>
      <c r="H10" s="15"/>
      <c r="I10" s="15"/>
    </row>
    <row r="11" spans="1:9" ht="15" customHeight="1" x14ac:dyDescent="0.3">
      <c r="A11" s="49" t="str">
        <f>BANGKIEMLOP!F5</f>
        <v>Mã 1</v>
      </c>
      <c r="B11" s="49">
        <f>BANGKIEMLOP!F35</f>
        <v>0</v>
      </c>
      <c r="C11" s="49">
        <f>BANGKIEMLOP!F34</f>
        <v>0</v>
      </c>
      <c r="D11" s="49">
        <f>BANGKIEMLOP!F33</f>
        <v>0</v>
      </c>
      <c r="E11" s="49">
        <f t="shared" ref="E11:E20" si="0">B11+C11+D11</f>
        <v>0</v>
      </c>
      <c r="F11" s="70" t="str">
        <f t="shared" ref="F11:F20" si="1">IF(E11=0,"—",B11/E11)</f>
        <v>—</v>
      </c>
      <c r="G11" s="15"/>
      <c r="H11" s="15"/>
      <c r="I11" s="15"/>
    </row>
    <row r="12" spans="1:9" ht="15" customHeight="1" x14ac:dyDescent="0.3">
      <c r="A12" s="49" t="str">
        <f>BANGKIEMLOP!G5</f>
        <v>Mã 2</v>
      </c>
      <c r="B12" s="49">
        <f>BANGKIEMLOP!G35</f>
        <v>0</v>
      </c>
      <c r="C12" s="49">
        <f>BANGKIEMLOP!G34</f>
        <v>0</v>
      </c>
      <c r="D12" s="49">
        <f>BANGKIEMLOP!G33</f>
        <v>0</v>
      </c>
      <c r="E12" s="49">
        <f t="shared" si="0"/>
        <v>0</v>
      </c>
      <c r="F12" s="70" t="str">
        <f t="shared" si="1"/>
        <v>—</v>
      </c>
      <c r="G12" s="15"/>
      <c r="H12" s="15"/>
      <c r="I12" s="15"/>
    </row>
    <row r="13" spans="1:9" ht="15" customHeight="1" x14ac:dyDescent="0.3">
      <c r="A13" s="49" t="str">
        <f>BANGKIEMLOP!H5</f>
        <v>Mã 3</v>
      </c>
      <c r="B13" s="49">
        <f>BANGKIEMLOP!H35</f>
        <v>0</v>
      </c>
      <c r="C13" s="49">
        <f>BANGKIEMLOP!H34</f>
        <v>0</v>
      </c>
      <c r="D13" s="49">
        <f>BANGKIEMLOP!H33</f>
        <v>0</v>
      </c>
      <c r="E13" s="49">
        <f t="shared" si="0"/>
        <v>0</v>
      </c>
      <c r="F13" s="70" t="str">
        <f t="shared" si="1"/>
        <v>—</v>
      </c>
      <c r="G13" s="15"/>
      <c r="H13" s="15"/>
      <c r="I13" s="15"/>
    </row>
    <row r="14" spans="1:9" ht="15" customHeight="1" x14ac:dyDescent="0.3">
      <c r="A14" s="49" t="str">
        <f>BANGKIEMLOP!I5</f>
        <v>Mã 4</v>
      </c>
      <c r="B14" s="49">
        <f>BANGKIEMLOP!I35</f>
        <v>0</v>
      </c>
      <c r="C14" s="49">
        <f>BANGKIEMLOP!I34</f>
        <v>0</v>
      </c>
      <c r="D14" s="49">
        <f>BANGKIEMLOP!I33</f>
        <v>0</v>
      </c>
      <c r="E14" s="49">
        <f t="shared" si="0"/>
        <v>0</v>
      </c>
      <c r="F14" s="70" t="str">
        <f t="shared" si="1"/>
        <v>—</v>
      </c>
      <c r="G14" s="15"/>
      <c r="H14" s="15"/>
      <c r="I14" s="15"/>
    </row>
    <row r="15" spans="1:9" ht="15" customHeight="1" x14ac:dyDescent="0.3">
      <c r="A15" s="49" t="str">
        <f>BANGKIEMLOP!J5</f>
        <v>Mã 5</v>
      </c>
      <c r="B15" s="49">
        <f>BANGKIEMLOP!J35</f>
        <v>0</v>
      </c>
      <c r="C15" s="49">
        <f>BANGKIEMLOP!J34</f>
        <v>0</v>
      </c>
      <c r="D15" s="49">
        <f>BANGKIEMLOP!J33</f>
        <v>0</v>
      </c>
      <c r="E15" s="49">
        <f t="shared" si="0"/>
        <v>0</v>
      </c>
      <c r="F15" s="70" t="str">
        <f t="shared" si="1"/>
        <v>—</v>
      </c>
      <c r="G15" s="15"/>
      <c r="H15" s="15"/>
      <c r="I15" s="15"/>
    </row>
    <row r="16" spans="1:9" ht="15" customHeight="1" x14ac:dyDescent="0.3">
      <c r="A16" s="49" t="str">
        <f>BANGKIEMLOP!K5</f>
        <v>Mã 6</v>
      </c>
      <c r="B16" s="49">
        <f>BANGKIEMLOP!K35</f>
        <v>0</v>
      </c>
      <c r="C16" s="49">
        <f>BANGKIEMLOP!K34</f>
        <v>0</v>
      </c>
      <c r="D16" s="49">
        <f>BANGKIEMLOP!K33</f>
        <v>0</v>
      </c>
      <c r="E16" s="49">
        <f t="shared" si="0"/>
        <v>0</v>
      </c>
      <c r="F16" s="70" t="str">
        <f t="shared" si="1"/>
        <v>—</v>
      </c>
      <c r="G16" s="15"/>
      <c r="H16" s="15"/>
      <c r="I16" s="15"/>
    </row>
    <row r="17" spans="1:9" ht="15" customHeight="1" x14ac:dyDescent="0.3">
      <c r="A17" s="49" t="str">
        <f>BANGKIEMLOP!L5</f>
        <v>Mã 7</v>
      </c>
      <c r="B17" s="49">
        <f>BANGKIEMLOP!L35</f>
        <v>0</v>
      </c>
      <c r="C17" s="49">
        <f>BANGKIEMLOP!L34</f>
        <v>0</v>
      </c>
      <c r="D17" s="49">
        <f>BANGKIEMLOP!L33</f>
        <v>0</v>
      </c>
      <c r="E17" s="49">
        <f t="shared" si="0"/>
        <v>0</v>
      </c>
      <c r="F17" s="70" t="str">
        <f t="shared" si="1"/>
        <v>—</v>
      </c>
      <c r="G17" s="15"/>
      <c r="H17" s="15"/>
      <c r="I17" s="15"/>
    </row>
    <row r="18" spans="1:9" ht="15" customHeight="1" x14ac:dyDescent="0.3">
      <c r="A18" s="49" t="str">
        <f>BANGKIEMLOP!M5</f>
        <v>Mã 8</v>
      </c>
      <c r="B18" s="49">
        <f>BANGKIEMLOP!M35</f>
        <v>0</v>
      </c>
      <c r="C18" s="49">
        <f>BANGKIEMLOP!M34</f>
        <v>0</v>
      </c>
      <c r="D18" s="49">
        <f>BANGKIEMLOP!M33</f>
        <v>0</v>
      </c>
      <c r="E18" s="49">
        <f t="shared" si="0"/>
        <v>0</v>
      </c>
      <c r="F18" s="70" t="str">
        <f t="shared" si="1"/>
        <v>—</v>
      </c>
      <c r="G18" s="15"/>
      <c r="H18" s="15"/>
      <c r="I18" s="15"/>
    </row>
    <row r="19" spans="1:9" ht="15" customHeight="1" x14ac:dyDescent="0.3">
      <c r="A19" s="49" t="str">
        <f>BANGKIEMLOP!N5</f>
        <v>Mã 9</v>
      </c>
      <c r="B19" s="49">
        <f>BANGKIEMLOP!N35</f>
        <v>0</v>
      </c>
      <c r="C19" s="49">
        <f>BANGKIEMLOP!N34</f>
        <v>0</v>
      </c>
      <c r="D19" s="49">
        <f>BANGKIEMLOP!N33</f>
        <v>0</v>
      </c>
      <c r="E19" s="49">
        <f t="shared" si="0"/>
        <v>0</v>
      </c>
      <c r="F19" s="70" t="str">
        <f t="shared" si="1"/>
        <v>—</v>
      </c>
      <c r="G19" s="15"/>
      <c r="H19" s="15"/>
      <c r="I19" s="15"/>
    </row>
    <row r="20" spans="1:9" ht="15" customHeight="1" x14ac:dyDescent="0.3">
      <c r="A20" s="49" t="str">
        <f>BANGKIEMLOP!O5</f>
        <v>Mã 10</v>
      </c>
      <c r="B20" s="49">
        <f>BANGKIEMLOP!O35</f>
        <v>0</v>
      </c>
      <c r="C20" s="49">
        <f>BANGKIEMLOP!O34</f>
        <v>0</v>
      </c>
      <c r="D20" s="49">
        <f>BANGKIEMLOP!O33</f>
        <v>0</v>
      </c>
      <c r="E20" s="49">
        <f t="shared" si="0"/>
        <v>0</v>
      </c>
      <c r="F20" s="70" t="str">
        <f t="shared" si="1"/>
        <v>—</v>
      </c>
      <c r="G20" s="15"/>
      <c r="H20" s="15"/>
      <c r="I20" s="15"/>
    </row>
    <row r="21" spans="1:9" ht="15" customHeight="1" x14ac:dyDescent="0.3">
      <c r="A21" s="15"/>
      <c r="B21" s="15"/>
      <c r="C21" s="15"/>
      <c r="D21" s="15"/>
      <c r="E21" s="15"/>
      <c r="F21" s="15"/>
      <c r="G21" s="15"/>
      <c r="H21" s="15"/>
      <c r="I21" s="15"/>
    </row>
    <row r="22" spans="1:9" ht="15" customHeight="1" x14ac:dyDescent="0.3">
      <c r="A22" s="69" t="s">
        <v>1120</v>
      </c>
      <c r="B22" s="15"/>
      <c r="C22" s="15"/>
      <c r="D22" s="15"/>
      <c r="E22" s="15"/>
      <c r="F22" s="15"/>
      <c r="G22" s="15"/>
      <c r="H22" s="15"/>
      <c r="I22" s="15"/>
    </row>
    <row r="23" spans="1:9" ht="15" customHeight="1" x14ac:dyDescent="0.3">
      <c r="A23" s="49" t="s">
        <v>1121</v>
      </c>
      <c r="B23" s="49" t="str">
        <f>IFERROR(INDEX($A$11:$A$20,MATCH(LARGE($F$11:$F$20,1),$F$11:$F$20,0)),"Chưa đủ dữ liệu")</f>
        <v>Chưa đủ dữ liệu</v>
      </c>
      <c r="C23" s="70" t="str">
        <f>IFERROR(LARGE($F$11:$F$20,1),"—")</f>
        <v>—</v>
      </c>
      <c r="D23" s="15"/>
      <c r="E23" s="15"/>
      <c r="F23" s="15"/>
      <c r="G23" s="15"/>
      <c r="H23" s="15"/>
      <c r="I23" s="15"/>
    </row>
    <row r="24" spans="1:9" ht="15" customHeight="1" x14ac:dyDescent="0.3">
      <c r="A24" s="49" t="s">
        <v>1122</v>
      </c>
      <c r="B24" s="49" t="str">
        <f>IFERROR(INDEX($A$11:$A$20,MATCH(LARGE($F$11:$F$20,2),$F$11:$F$20,0)),"Chưa đủ dữ liệu")</f>
        <v>Chưa đủ dữ liệu</v>
      </c>
      <c r="C24" s="70" t="str">
        <f>IFERROR(LARGE($F$11:$F$20,2),"—")</f>
        <v>—</v>
      </c>
      <c r="D24" s="15"/>
      <c r="E24" s="15"/>
      <c r="F24" s="15"/>
      <c r="G24" s="15"/>
      <c r="H24" s="15"/>
      <c r="I24" s="15"/>
    </row>
    <row r="25" spans="1:9" ht="15" customHeight="1" x14ac:dyDescent="0.3">
      <c r="A25" s="49" t="s">
        <v>1123</v>
      </c>
      <c r="B25" s="49" t="str">
        <f>IFERROR(INDEX($A$11:$A$20,MATCH(LARGE($F$11:$F$20,3),$F$11:$F$20,0)),"Chưa đủ dữ liệu")</f>
        <v>Chưa đủ dữ liệu</v>
      </c>
      <c r="C25" s="70" t="str">
        <f>IFERROR(LARGE($F$11:$F$20,3),"—")</f>
        <v>—</v>
      </c>
      <c r="D25" s="15"/>
      <c r="E25" s="15"/>
      <c r="F25" s="15"/>
      <c r="G25" s="15"/>
      <c r="H25" s="15"/>
      <c r="I25" s="15"/>
    </row>
    <row r="26" spans="1:9" ht="15" customHeight="1" x14ac:dyDescent="0.3">
      <c r="A26" s="15"/>
      <c r="B26" s="15"/>
      <c r="C26" s="15"/>
      <c r="D26" s="15"/>
      <c r="E26" s="15"/>
      <c r="F26" s="15"/>
      <c r="G26" s="15"/>
      <c r="H26" s="15"/>
      <c r="I26" s="15"/>
    </row>
    <row r="27" spans="1:9" ht="15" customHeight="1" x14ac:dyDescent="0.3">
      <c r="A27" s="69" t="s">
        <v>1124</v>
      </c>
      <c r="B27" s="15"/>
      <c r="C27" s="15"/>
      <c r="D27" s="15"/>
      <c r="E27" s="15"/>
      <c r="F27" s="15"/>
      <c r="G27" s="15"/>
      <c r="H27" s="15"/>
      <c r="I27" s="15"/>
    </row>
    <row r="28" spans="1:9" ht="15" customHeight="1" x14ac:dyDescent="0.3">
      <c r="A28" s="71" t="s">
        <v>1111</v>
      </c>
      <c r="B28" s="71" t="s">
        <v>1087</v>
      </c>
      <c r="C28" s="71" t="s">
        <v>996</v>
      </c>
      <c r="D28" s="15"/>
      <c r="E28" s="15"/>
      <c r="F28" s="15"/>
      <c r="G28" s="15"/>
      <c r="H28" s="15"/>
      <c r="I28" s="15"/>
    </row>
    <row r="29" spans="1:9" ht="15" customHeight="1" x14ac:dyDescent="0.3">
      <c r="A29" s="15"/>
      <c r="B29" s="15"/>
      <c r="C29" s="15"/>
      <c r="D29" s="15"/>
      <c r="E29" s="15"/>
      <c r="F29" s="15"/>
      <c r="G29" s="15"/>
      <c r="H29" s="15"/>
      <c r="I29" s="15"/>
    </row>
    <row r="30" spans="1:9" ht="15" customHeight="1" x14ac:dyDescent="0.3">
      <c r="A30" s="15"/>
      <c r="B30" s="15"/>
      <c r="C30" s="15"/>
      <c r="D30" s="15"/>
      <c r="E30" s="15"/>
      <c r="F30" s="15"/>
      <c r="G30" s="15"/>
      <c r="H30" s="15"/>
      <c r="I30" s="15"/>
    </row>
    <row r="31" spans="1:9" ht="15" customHeight="1" x14ac:dyDescent="0.3">
      <c r="A31" s="69" t="s">
        <v>1125</v>
      </c>
      <c r="B31" s="15"/>
      <c r="C31" s="15"/>
      <c r="D31" s="15"/>
      <c r="E31" s="15"/>
      <c r="F31" s="15"/>
      <c r="G31" s="15"/>
      <c r="H31" s="15"/>
      <c r="I31" s="15"/>
    </row>
    <row r="32" spans="1:9" ht="15" customHeight="1" x14ac:dyDescent="0.3">
      <c r="A32" s="72" t="s">
        <v>1126</v>
      </c>
      <c r="B32" s="15"/>
      <c r="C32" s="15"/>
      <c r="D32" s="15"/>
      <c r="E32" s="15"/>
      <c r="F32" s="15"/>
      <c r="G32" s="15"/>
      <c r="H32" s="15"/>
      <c r="I32" s="15"/>
    </row>
    <row r="33" spans="1:9" ht="15" customHeight="1" x14ac:dyDescent="0.3">
      <c r="A33" s="15"/>
      <c r="B33" s="15"/>
      <c r="C33" s="15"/>
      <c r="D33" s="15"/>
      <c r="E33" s="15"/>
      <c r="F33" s="15"/>
      <c r="G33" s="15"/>
      <c r="H33" s="15"/>
      <c r="I33" s="15"/>
    </row>
    <row r="34" spans="1:9" ht="15" customHeight="1" x14ac:dyDescent="0.3">
      <c r="A34" s="69" t="s">
        <v>1127</v>
      </c>
      <c r="B34" s="15"/>
      <c r="C34" s="15"/>
      <c r="D34" s="15"/>
      <c r="E34" s="15"/>
      <c r="F34" s="15"/>
      <c r="G34" s="15"/>
      <c r="H34" s="15"/>
      <c r="I34" s="15"/>
    </row>
    <row r="35" spans="1:9" ht="15" customHeight="1" x14ac:dyDescent="0.3">
      <c r="A35" s="15" t="str">
        <f>"Tháng này nên sinh hoạt chuyên môn tập trung vào năng lực đứng Hạng 1 ở mục C — đây là năng lực có tỉ lệ trẻ mức I cao nhất toàn trường. Đề xuất: dự giờ, trao đổi cách tổ chức hoạt động liên quan mã này giữa các lớp."</f>
        <v>Tháng này nên sinh hoạt chuyên môn tập trung vào năng lực đứng Hạng 1 ở mục C — đây là năng lực có tỉ lệ trẻ mức I cao nhất toàn trường. Đề xuất: dự giờ, trao đổi cách tổ chức hoạt động liên quan mã này giữa các lớp.</v>
      </c>
      <c r="B35" s="15"/>
      <c r="C35" s="15"/>
      <c r="D35" s="15"/>
      <c r="E35" s="15"/>
      <c r="F35" s="15"/>
      <c r="G35" s="15"/>
      <c r="H35" s="15"/>
      <c r="I35" s="15"/>
    </row>
    <row r="36" spans="1:9" ht="15" customHeight="1" x14ac:dyDescent="0.3">
      <c r="A36" s="15"/>
      <c r="B36" s="15"/>
      <c r="C36" s="15"/>
      <c r="D36" s="15"/>
      <c r="E36" s="15"/>
      <c r="F36" s="15"/>
      <c r="G36" s="15"/>
      <c r="H36" s="15"/>
      <c r="I36" s="15"/>
    </row>
    <row r="37" spans="1:9" ht="15" customHeight="1" x14ac:dyDescent="0.3">
      <c r="A37" s="44" t="s">
        <v>1128</v>
      </c>
      <c r="B37" s="15"/>
      <c r="C37" s="15"/>
      <c r="D37" s="15"/>
      <c r="E37" s="15"/>
      <c r="F37" s="15"/>
      <c r="G37" s="15"/>
      <c r="H37" s="15"/>
      <c r="I37" s="15"/>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TRANGCHU</vt:lpstr>
      <vt:lpstr>HUONGDAN</vt:lpstr>
      <vt:lpstr>KHUNGNL</vt:lpstr>
      <vt:lpstr>MOCPT</vt:lpstr>
      <vt:lpstr>MATRANYCCD</vt:lpstr>
      <vt:lpstr>KHNAM_3_4T</vt:lpstr>
      <vt:lpstr>KHNAM_4_5T</vt:lpstr>
      <vt:lpstr>KHNAM_5_6T</vt:lpstr>
      <vt:lpstr>PHIENCHE</vt:lpstr>
      <vt:lpstr>NGANHANGHD</vt:lpstr>
      <vt:lpstr>NGANHANGHL</vt:lpstr>
      <vt:lpstr>RUBRIC</vt:lpstr>
      <vt:lpstr>BANGKIEMLOP</vt:lpstr>
      <vt:lpstr>NHATKYQUANSAT</vt:lpstr>
      <vt:lpstr>PHIEUCANHAN</vt:lpstr>
      <vt:lpstr>PHIEUTRAODOI</vt:lpstr>
      <vt:lpstr>PORTFOLIO</vt:lpstr>
      <vt:lpstr>DASHBOARD_LOP</vt:lpstr>
      <vt:lpstr>DASHBOARD_TOANTRUONG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MARGARET NGUYEN</cp:lastModifiedBy>
  <cp:revision>7</cp:revision>
  <dcterms:created xsi:type="dcterms:W3CDTF">2026-07-04T09:07:18Z</dcterms:created>
  <dcterms:modified xsi:type="dcterms:W3CDTF">2026-08-01T11:11:52Z</dcterms:modified>
  <dc:language>en-US</dc:language>
</cp:coreProperties>
</file>