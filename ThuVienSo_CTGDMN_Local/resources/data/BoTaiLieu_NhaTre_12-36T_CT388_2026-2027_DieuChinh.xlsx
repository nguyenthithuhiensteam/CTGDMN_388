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TRANG CHỦ" sheetId="1" state="visible" r:id="rId3"/>
    <sheet name="📖 HƯỚNG DẪN SỬ DỤNG" sheetId="2" state="visible" r:id="rId4"/>
    <sheet name="📚 TRIẾT LÝ &amp; NGUYÊN TẮC (4 BỘ)" sheetId="3" state="visible" r:id="rId5"/>
    <sheet name="1. ĐỒNG BỘ KẾ HOẠCH" sheetId="4" state="visible" r:id="rId6"/>
    <sheet name="2. FRAMEWORK" sheetId="5" state="visible" r:id="rId7"/>
    <sheet name="3. THƯ VIỆN SỐ" sheetId="6" state="visible" r:id="rId8"/>
    <sheet name="4. TRA CỨU NHANH" sheetId="7" state="visible" r:id="rId9"/>
    <sheet name="5. HỒ SƠ GV" sheetId="8" state="visible" r:id="rId10"/>
    <sheet name="6. CẦU NỐI KHUNG NL" sheetId="9" state="visible" r:id="rId11"/>
    <sheet name="7. KHUNG NL TÓM TẮT" sheetId="10" state="visible" r:id="rId12"/>
    <sheet name="8. NGÂN HÀNG HOẠT ĐỘNG" sheetId="11" state="visible" r:id="rId13"/>
    <sheet name="9. CHECKLIST TRIỂN KHAI HĐ" sheetId="12" state="visible" r:id="rId14"/>
    <sheet name="9b. GIÁO DỤC TRONG SINH HOẠT" sheetId="13" state="visible" r:id="rId15"/>
    <sheet name="10. NGÂN HÀNG HỌC LIỆU" sheetId="14" state="visible" r:id="rId16"/>
    <sheet name="11. RUBRIC NHÀ TRẺ" sheetId="15" state="visible" r:id="rId17"/>
    <sheet name="12. PHIẾU CÁ NHÂN" sheetId="16" state="visible" r:id="rId18"/>
    <sheet name="12b. PORTFOLIO" sheetId="17" state="visible" r:id="rId19"/>
    <sheet name="13. BẢNG KIỂM LỚP" sheetId="18" state="visible" r:id="rId20"/>
    <sheet name="14. NHẬT KÝ QUAN SÁT" sheetId="19" state="visible" r:id="rId21"/>
    <sheet name="15. PHIẾU TRAO ĐỔI CMHS" sheetId="20" state="visible" r:id="rId22"/>
    <sheet name="16. RA_SOAT_388" sheetId="21" state="visible" r:id="rId23"/>
    <sheet name="16b. DOI_CHIEU_5TRUC" sheetId="22" state="visible" r:id="rId24"/>
    <sheet name="17. DASHBOARD_LOP"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<sst xmlns="http://schemas.openxmlformats.org/spreadsheetml/2006/main" count="12126" uniqueCount="3809">
  <si>
    <t xml:space="preserve">BỘ TÀI LIỆU CHƯƠNG TRÌNH NHÀ TRẺ 12–36 THÁNG</t>
  </si>
  <si>
    <t xml:space="preserve">Chương trình GDMN thí điểm — QĐ 388/QĐ-BGDĐT (12/02/2026) · Năm học 2026–2027 · Hiền STEAM</t>
  </si>
  <si>
    <t xml:space="preserve">Bộ hợp nhất 4 file gốc: Hướng dẫn CT Nhà trẻ · Khung Phân bổ Năng lực · Ngân hàng Hoạt động STEAM/SEL · Rubric Đánh giá</t>
  </si>
  <si>
    <t xml:space="preserve">👉 BẤM VÀO TỪNG MỤC ĐỂ MỞ NỘI DUNG</t>
  </si>
  <si>
    <t xml:space="preserve">📖 HƯỚNG DẪN SỬ DỤNG</t>
  </si>
  <si>
    <t xml:space="preserve">Đọc trước tiên — quy tắc vàng, cách dùng cả bộ, quy trình 1 tuần</t>
  </si>
  <si>
    <t xml:space="preserve">📚 TRIẾT LÝ &amp; NGUYÊN TẮC (4 BỘ)</t>
  </si>
  <si>
    <t xml:space="preserve">Tổng hợp triết lý cốt lõi của cả 4 tài liệu gốc — đọc để hiểu logic toàn bộ</t>
  </si>
  <si>
    <t xml:space="preserve">1. ĐỒNG BỘ KẾ HOẠCH</t>
  </si>
  <si>
    <t xml:space="preserve">GIỮ / SỬA / CHUYỂN theo độ tuổi (12–24th &amp; 24–36th)</t>
  </si>
  <si>
    <t xml:space="preserve">2. FRAMEWORK</t>
  </si>
  <si>
    <t xml:space="preserve">Đường phát triển 8 mốc + đủ trường (82 mã, chi tiết)</t>
  </si>
  <si>
    <t xml:space="preserve">3. THƯ VIỆN SỐ</t>
  </si>
  <si>
    <t xml:space="preserve">Chi tiết theo từng mốc (dùng hằng ngày)</t>
  </si>
  <si>
    <t xml:space="preserve">4. TRA CỨU NHANH</t>
  </si>
  <si>
    <t xml:space="preserve">Mỗi mã 1 dòng, xem nhanh 8 mốc</t>
  </si>
  <si>
    <t xml:space="preserve">5. HỒ SƠ GV</t>
  </si>
  <si>
    <t xml:space="preserve">Điền tên GV, trường, lớp; theo dõi trẻ</t>
  </si>
  <si>
    <t xml:space="preserve">6. CẦU NỐI KHUNG NL</t>
  </si>
  <si>
    <t xml:space="preserve">5 lĩnh vực Nhà trẻ (QĐ 388) ↔ 5 năng lực nền tảng + 4 phẩm chất</t>
  </si>
  <si>
    <t xml:space="preserve">7. KHUNG NL TÓM TẮT</t>
  </si>
  <si>
    <t xml:space="preserve">Khung năng lực 82 chỉ số × 8 mốc — bản tóm tắt kèm gợi ý STEAM/SEL</t>
  </si>
  <si>
    <t xml:space="preserve">8. NGÂN HÀNG HOẠT ĐỘNG</t>
  </si>
  <si>
    <t xml:space="preserve">Hoạt động STEAM/SEL theo 8 chủ đề — học qua chơi, trải nghiệm giác quan</t>
  </si>
  <si>
    <t xml:space="preserve">9. CHECKLIST TRIỂN KHAI HĐ</t>
  </si>
  <si>
    <t xml:space="preserve">Checklist trước – trong – sau khi triển khai 1 hoạt động</t>
  </si>
  <si>
    <t xml:space="preserve">10. NGÂN HÀNG HỌC LIỆU</t>
  </si>
  <si>
    <t xml:space="preserve">Học liệu mở — ưu tiên vật liệu tự nhiên &amp; tái chế</t>
  </si>
  <si>
    <t xml:space="preserve">11. RUBRIC NHÀ TRẺ</t>
  </si>
  <si>
    <t xml:space="preserve">Rubric đánh giá năng lực theo 82 chỉ số, thang I–H–V</t>
  </si>
  <si>
    <t xml:space="preserve">12. PHIẾU CÁ NHÂN</t>
  </si>
  <si>
    <t xml:space="preserve">Phiếu đánh giá phát triển cá nhân trẻ (in cho từng trẻ)</t>
  </si>
  <si>
    <t xml:space="preserve">13. BẢNG KIỂM LỚP</t>
  </si>
  <si>
    <t xml:space="preserve">Bảng kiểm theo dõi toàn lớp theo tháng</t>
  </si>
  <si>
    <t xml:space="preserve">14. NHẬT KÝ QUAN SÁT</t>
  </si>
  <si>
    <t xml:space="preserve">Mẫu nhật ký quan sát — ghi chép tình huống thực tế</t>
  </si>
  <si>
    <t xml:space="preserve">15. PHIẾU TRAO ĐỔI CMHS</t>
  </si>
  <si>
    <t xml:space="preserve">Phiếu trao đổi với phụ huynh cuối học kỳ</t>
  </si>
  <si>
    <t xml:space="preserve">16. RA_SOAT_388</t>
  </si>
  <si>
    <t xml:space="preserve">Đối chiếu 10 tiêu chí theo QĐ 388 — căn cứ pháp lý, phẩm chất, năng lực, giảm tải hồ sơ...</t>
  </si>
  <si>
    <t xml:space="preserve">17. DASHBOARD_LOP</t>
  </si>
  <si>
    <t xml:space="preserve">CBQL xem nhanh sĩ số, số trẻ theo mức I/H/V/X từng mã, nhóm trẻ cần hỗ trợ</t>
  </si>
  <si>
    <t xml:space="preserve">9b. GIÁO DỤC TRONG SINH HOẠT</t>
  </si>
  <si>
    <t xml:space="preserve">Giáo dục lồng ghép trong đón trẻ, ăn, ngủ, vệ sinh, chơi, trả trẻ — tích hợp chăm sóc-nuôi dưỡng-giáo dục</t>
  </si>
  <si>
    <t xml:space="preserve">12b. PORTFOLIO</t>
  </si>
  <si>
    <t xml:space="preserve">Lưu trữ minh chứng quá trình (ảnh/video/sản phẩm) xuyên suốt học kỳ cho từng trẻ</t>
  </si>
  <si>
    <t xml:space="preserve">16b. ĐỐI CHIẾU 5 TRỤC QĐ 388</t>
  </si>
  <si>
    <t xml:space="preserve">Đối chiếu từng sheet với 5 trục: mục tiêu, nguyên tắc, nội dung, phương pháp/hình thức tổ chức, đánh giá</t>
  </si>
  <si>
    <t xml:space="preserve">Mẹo: Ở mỗi sheet, bấm "⬅ Về Trang chủ" (góc trên bên trái) để quay lại đây.</t>
  </si>
  <si>
    <t xml:space="preserve">Nguồn hợp nhất — 4 file gốc (giữ nguyên nội dung, không chỉnh sửa số liệu/YCCĐ):</t>
  </si>
  <si>
    <t xml:space="preserve">① Huongdanchuongtrinhnhatre_CTGDMN_thi_diem.xlsx</t>
  </si>
  <si>
    <t xml:space="preserve">② KhungPhanBoNangLuc_CTGDMN2026.xlsx  (sheet Nhà trẻ 12–36th)</t>
  </si>
  <si>
    <t xml:space="preserve">③ NganHangHoatDong_STEAM_SEL_2026.xlsx  (sheet Nhà trẻ 12–36th)</t>
  </si>
  <si>
    <t xml:space="preserve">④ Rubric_DanhGiaNangLuc_CTGDMN2026.xlsx  (sheet Nhà trẻ 12–36th)</t>
  </si>
  <si>
    <t xml:space="preserve">HƯỚNG DẪN SỬ DỤNG BỘ TÀI LIỆU — DÀNH CHO GIÁO VIÊN NHÀ TRẺ</t>
  </si>
  <si>
    <t xml:space="preserve">Đọc mục này trước khi dùng các sheet khác — viết ngắn gọn, dễ áp dụng ngay tại lớp</t>
  </si>
  <si>
    <t xml:space="preserve">⬅ Về Trang chủ</t>
  </si>
  <si>
    <t xml:space="preserve">1. FILE NÀY DÙNG ĐỂ LÀM GÌ?</t>
  </si>
  <si>
    <t xml:space="preserve">Mục đích chính</t>
  </si>
  <si>
    <t xml:space="preserve">Hỗ trợ giáo viên QUAN SÁT – CHĂM SÓC – GIÁO DỤC trẻ hằng ngày. KHÔNG phải công cụ thi cử hay kiểm tra trẻ.</t>
  </si>
  <si>
    <t xml:space="preserve">Dùng khi nào</t>
  </si>
  <si>
    <t xml:space="preserve">Bất cứ lúc nào trong ngày: giờ chơi, giờ ăn, giờ ngủ, giờ đón–trả trẻ — khi thấy biểu hiện đáng ghi nhận.</t>
  </si>
  <si>
    <t xml:space="preserve">Không dùng để</t>
  </si>
  <si>
    <t xml:space="preserve">Xếp loại trẻ, chấm điểm, thi đua giữa các lớp hay giữa các giáo viên.</t>
  </si>
  <si>
    <t xml:space="preserve">2. NHỮNG ĐIỀU TUYỆT ĐỐI KHÔNG LÀM</t>
  </si>
  <si>
    <t xml:space="preserve">Không xếp loại trẻ</t>
  </si>
  <si>
    <t xml:space="preserve">KHÔNG dùng mức I/H/V/X để xếp hạng "giỏi – khá – yếu".</t>
  </si>
  <si>
    <t xml:space="preserve">Không so sánh trẻ</t>
  </si>
  <si>
    <t xml:space="preserve">Mỗi trẻ có nhịp phát triển riêng. KHÔNG so trẻ này với trẻ khác, lớp này với lớp khác.</t>
  </si>
  <si>
    <t xml:space="preserve">Không đánh giá thi đua GV</t>
  </si>
  <si>
    <t xml:space="preserve">File chỉ phục vụ điều chỉnh cách dạy — KHÔNG dùng để chấm điểm hay xếp loại giáo viên.</t>
  </si>
  <si>
    <t xml:space="preserve">3. MỐC PHÁT TRIỂN — CHỈ LÀ GỢI Ý QUAN SÁT</t>
  </si>
  <si>
    <t xml:space="preserve">Mốc là gì</t>
  </si>
  <si>
    <t xml:space="preserve">Con đường phát triển tham khảo theo từng giai đoạn 3 tháng — KHÔNG phải "chuẩn phải đạt đúng hạn".</t>
  </si>
  <si>
    <t xml:space="preserve">Trẻ chậm hơn mốc</t>
  </si>
  <si>
    <t xml:space="preserve">Hoàn toàn bình thường. Hạ mốc, tăng hỗ trợ — không lo lắng, không ép trẻ.</t>
  </si>
  <si>
    <t xml:space="preserve">Trẻ nhanh hơn mốc</t>
  </si>
  <si>
    <t xml:space="preserve">Nâng mốc, tăng thử thách phù hợp — không bắt trẻ dừng lại chờ bạn.</t>
  </si>
  <si>
    <t xml:space="preserve">Đích chung</t>
  </si>
  <si>
    <t xml:space="preserve">YCCĐ 36 tháng (theo QĐ 388) — mọi trẻ cùng hướng tới, không phải đạt ngay ở từng tháng tuổi.</t>
  </si>
  <si>
    <t xml:space="preserve">4. KÝ HIỆU ĐÁNH GIÁ I / H / V / X</t>
  </si>
  <si>
    <t xml:space="preserve">I — Khởi đầu</t>
  </si>
  <si>
    <t xml:space="preserve">Trẻ mới làm quen, cần cô hỗ trợ nhiều.</t>
  </si>
  <si>
    <t xml:space="preserve">H — Hình thành</t>
  </si>
  <si>
    <t xml:space="preserve">Trẻ làm được khi quen thuộc, cần cô hỗ trợ nhẹ.</t>
  </si>
  <si>
    <t xml:space="preserve">V — Vững chắc</t>
  </si>
  <si>
    <t xml:space="preserve">Trẻ chủ động, ít hoặc không cần hỗ trợ.</t>
  </si>
  <si>
    <t xml:space="preserve">X — Chưa quan sát</t>
  </si>
  <si>
    <t xml:space="preserve">Chưa đủ minh chứng để đánh giá. TUYỆT ĐỐI không suy diễn, không mặc định là mức I.</t>
  </si>
  <si>
    <t xml:space="preserve">Nguyên tắc bắt buộc</t>
  </si>
  <si>
    <t xml:space="preserve">CHỈ đánh giá I/H/V khi CÓ minh chứng cụ thể đã thấy tận mắt (hành vi, câu nói, sản phẩm của trẻ). KHÔNG đánh giá theo cảm tính, suy đoán hay ấn tượng chung.</t>
  </si>
  <si>
    <t xml:space="preserve">5. GIÁO VIÊN ĐƯỢC ĐIỀU CHỈNH GÌ?</t>
  </si>
  <si>
    <t xml:space="preserve">Hoạt động</t>
  </si>
  <si>
    <t xml:space="preserve">Được đổi hoạt động gợi ý cho phù hợp đặc điểm trẻ, điều kiện lớp, học liệu sẵn có tại địa phương.</t>
  </si>
  <si>
    <t xml:space="preserve">Học liệu</t>
  </si>
  <si>
    <t xml:space="preserve">Ưu tiên vật liệu địa phương, tái chế, an toàn — không bắt buộc giống y hệt gợi ý trong Ngân hàng học liệu.</t>
  </si>
  <si>
    <t xml:space="preserve">Thời lượng / nhịp độ</t>
  </si>
  <si>
    <t xml:space="preserve">Có thể co giãn theo sức khỏe, tâm trạng của trẻ trong ngày.</t>
  </si>
  <si>
    <t xml:space="preserve">KHÔNG được tự đổi</t>
  </si>
  <si>
    <t xml:space="preserve">82 mã năng lực/YCCĐ gốc theo QĐ 388 và thang đánh giá I/H/V/X — đây là phần thống nhất toàn trường.</t>
  </si>
  <si>
    <t xml:space="preserve">6. CÁCH GHI MINH CHỨNG</t>
  </si>
  <si>
    <t xml:space="preserve">Ví dụ đúng</t>
  </si>
  <si>
    <t xml:space="preserve">"12/9 – giờ ăn: bé A tự cầm thìa xúc 4 thìa, ít rơi vãi." (minh chứng cho mã TC5.2)</t>
  </si>
  <si>
    <t xml:space="preserve">Yêu cầu</t>
  </si>
  <si>
    <t xml:space="preserve">Mô tả hành vi CỤ THỂ đã thấy. KHÔNG ghi chung chung như "bé ngoan", "bé tốt", "bé bình thường".</t>
  </si>
  <si>
    <t xml:space="preserve">7. CÁC SHEET CHÍNH &amp; KHI NÀO DÙNG</t>
  </si>
  <si>
    <t xml:space="preserve">Tra đường phát triển 8 mốc + hoạt động + điều chỉnh cho từng mã.</t>
  </si>
  <si>
    <t xml:space="preserve">Chọn hoạt động học qua chơi theo chủ đề, có STEAM/SEL.</t>
  </si>
  <si>
    <t xml:space="preserve">Ghi nhận I/H/V/X cho cả lớp — làm 1 lần/tháng, không phải hằng ngày.</t>
  </si>
  <si>
    <t xml:space="preserve">Xem nhanh số trẻ theo từng mức, không cần cộng tay (dành cho GV &amp; CBQL).</t>
  </si>
  <si>
    <t xml:space="preserve">Kiểm tra bộ tài liệu có đúng tinh thần QĐ 388 không (dành cho CBQL/tổ chuyên môn).</t>
  </si>
  <si>
    <t xml:space="preserve">8. QUY TRÌNH DÙNG HẰNG NGÀY – HẰNG TUẦN – HẰNG THÁNG</t>
  </si>
  <si>
    <t xml:space="preserve">Hằng ngày</t>
  </si>
  <si>
    <t xml:space="preserve">Quan sát tự nhiên trong lúc chơi/ăn/ngủ/vệ sinh; ghi Nhật ký quan sát khi có minh chứng rõ.</t>
  </si>
  <si>
    <t xml:space="preserve">Hằng tuần</t>
  </si>
  <si>
    <t xml:space="preserve">Chọn mã trọng tâm theo kế hoạch chủ đề; tra Ngân hàng hoạt động và Ngân hàng học liệu để chọn hoạt động phù hợp.</t>
  </si>
  <si>
    <t xml:space="preserve">Cuối tháng</t>
  </si>
  <si>
    <t xml:space="preserve">Tổng hợp đánh giá vào Bảng kiểm lớp; xem Dashboard lớp để biết mã nào cả lớp cần chú ý thêm.</t>
  </si>
  <si>
    <t xml:space="preserve">Cuối học kỳ</t>
  </si>
  <si>
    <t xml:space="preserve">Hoàn thiện Phiếu cá nhân cho từng trẻ; trao đổi với phụ huynh bằng Phiếu trao đổi CMHS.</t>
  </si>
  <si>
    <t xml:space="preserve">9. LƯU Ý CUỐI</t>
  </si>
  <si>
    <t xml:space="preserve">Kiểm tra bộ tài liệu đúng QĐ 388?</t>
  </si>
  <si>
    <t xml:space="preserve">Xem sheet "16. RA_SOAT_388".</t>
  </si>
  <si>
    <t xml:space="preserve">CBQL cần xem nhanh cả lớp?</t>
  </si>
  <si>
    <t xml:space="preserve">Xem sheet "17. DASHBOARD_LOP".</t>
  </si>
  <si>
    <t xml:space="preserve">File không khoá</t>
  </si>
  <si>
    <t xml:space="preserve">Giáo viên và tổ chuyên môn được sửa trực tiếp nội dung tham khảo cho phù hợp thực tế lớp mình.</t>
  </si>
  <si>
    <t xml:space="preserve">TRIẾT LÝ &amp; NGUYÊN TẮC CỐT LÕI — TỔNG HỢP TỪ 4 TÀI LIỆU GỐC</t>
  </si>
  <si>
    <t xml:space="preserve">① NGUYÊN TẮC VÀNG — Chương trình Nhà trẻ (QĐ 388)</t>
  </si>
  <si>
    <t xml:space="preserve">YCCĐ đối với trẻ 36 tháng</t>
  </si>
  <si>
    <t xml:space="preserve">mọi trẻ hướng tới, không phải đạt ngay</t>
  </si>
  <si>
    <t xml:space="preserve">8 mốc yêu cầu kỳ vọng là con đường để đạt được </t>
  </si>
  <si>
    <t xml:space="preserve">bậc thang tiến dần, không phải chuẩn mới để chấm điểm</t>
  </si>
  <si>
    <t xml:space="preserve">Mỗi trẻ ở một mốc khác nhau, cá thể hóa quá trình giáo dục.</t>
  </si>
  <si>
    <t xml:space="preserve">đó là bình thường; dạy theo mốc thực của trẻ</t>
  </si>
  <si>
    <t xml:space="preserve">Dùng mốc để CHỌN HOẠT ĐỘNG</t>
  </si>
  <si>
    <t xml:space="preserve">không dùng để ép trẻ đạt chuẩn</t>
  </si>
  <si>
    <t xml:space="preserve">Đánh giá bằng QUAN SÁT &amp; MINH CHỨNG</t>
  </si>
  <si>
    <t xml:space="preserve">trong sinh hoạt tự nhiên, không kiểm tra trẻ</t>
  </si>
  <si>
    <t xml:space="preserve">Học qua chơi – trải nghiệm – lấy trẻ làm trung tâm</t>
  </si>
  <si>
    <t xml:space="preserve">tích hợp STEAM &amp; SEL; giáo dục hòa nhập</t>
  </si>
  <si>
    <t xml:space="preserve">② TRIẾT LÝ CỐT LÕI — Khung Phân bổ Chủ đề theo Năng lực</t>
  </si>
  <si>
    <t xml:space="preserve">   TRIẾT LÝ CỐT LÕI</t>
  </si>
  <si>
    <t xml:space="preserve">Chủ đề chỉ là:</t>
  </si>
  <si>
    <t xml:space="preserve">Bối cảnh – Môi trường trải nghiệm – Tình huống giáo dục</t>
  </si>
  <si>
    <t xml:space="preserve">Năng lực mới là:</t>
  </si>
  <si>
    <t xml:space="preserve">Trung tâm kế hoạch giáo dục – Mục tiêu cốt lõi cần phát triển</t>
  </si>
  <si>
    <t xml:space="preserve">4 Phẩm chất:</t>
  </si>
  <si>
    <t xml:space="preserve">Yêu thương | Tôn trọng | Trung thực | Trách nhiệm</t>
  </si>
  <si>
    <t xml:space="preserve">5 Năng lực nền tảng:</t>
  </si>
  <si>
    <t xml:space="preserve">Giao tiếp | Hợp tác | Giải quyết vấn đề | Thích ứng | Tự lực</t>
  </si>
  <si>
    <t xml:space="preserve">   3 GIAI ĐOẠN NĂM HỌC</t>
  </si>
  <si>
    <t xml:space="preserve">GĐ1 – Đầu năm (T9-10):</t>
  </si>
  <si>
    <t xml:space="preserve">🟣 Thích ứng – Giao tiếp – Cảm xúc – Hình thành nề nếp</t>
  </si>
  <si>
    <t xml:space="preserve">③ GIỚI THIỆU — Ngân hàng Hoạt động STEAM/SEL</t>
  </si>
  <si>
    <t xml:space="preserve">Chủ đề bộ tài liệu</t>
  </si>
  <si>
    <t xml:space="preserve">NGÂN HÀNG HOẠT ĐỘNG STEAM/SEL – TRƯỜNG MẦM NON</t>
  </si>
  <si>
    <t xml:space="preserve">Mô tả</t>
  </si>
  <si>
    <t xml:space="preserve">CT GDMN thí điểm QĐ 388/QĐ-BGDĐT | Học qua chơi – Trải nghiệm – Phát triển năng lực | 15 hoạt động mẫu đầy đủ + Ma trận tổng quan 40 hoạt động</t>
  </si>
  <si>
    <t xml:space="preserve">④ TRIẾT LÝ ĐÁNH GIÁ &amp; 3 MỨC ĐỘ PHÁT TRIỂN — Rubric</t>
  </si>
  <si>
    <t xml:space="preserve">   TRIẾT LÝ ĐÁNH GIÁ</t>
  </si>
  <si>
    <t xml:space="preserve">Đánh giá là để:</t>
  </si>
  <si>
    <t xml:space="preserve">Hiểu trẻ → Hỗ trợ kịp thời → Điều chỉnh kế hoạch GD – KHÔNG phân loại hay so sánh trẻ</t>
  </si>
  <si>
    <t xml:space="preserve">Đánh giá bằng:</t>
  </si>
  <si>
    <t xml:space="preserve">Quan sát thực tế | Sản phẩm hoạt động | Trò chuyện | Phản hồi phụ huynh | Hình ảnh/Video</t>
  </si>
  <si>
    <t xml:space="preserve">Ai đánh giá:</t>
  </si>
  <si>
    <t xml:space="preserve">Giáo viên (chính) + Phụ huynh (bổ sung) + Trẻ tự đánh giá đơn giản (5-6 tuổi)</t>
  </si>
  <si>
    <t xml:space="preserve">Khi nào đánh giá:</t>
  </si>
  <si>
    <t xml:space="preserve">Thường xuyên (hàng ngày/tuần) + Định kỳ (cuối HK1 – tháng 12; cuối năm – tháng 5)</t>
  </si>
  <si>
    <t xml:space="preserve">   3 MỨC ĐỘ PHÁT TRIỂN</t>
  </si>
  <si>
    <t xml:space="preserve">I – Khởi đầu 🟡</t>
  </si>
  <si>
    <t xml:space="preserve">Trẻ cần hỗ trợ trực tiếp, gợi ý hoặc làm mẫu của GV. Chưa thực hiện độc lập.</t>
  </si>
  <si>
    <t xml:space="preserve">H – Hình thành 🔵</t>
  </si>
  <si>
    <t xml:space="preserve">Trẻ thực hiện được trong tình huống quen thuộc, còn cần nhắc nhở nhẹ đôi khi.</t>
  </si>
  <si>
    <t xml:space="preserve">V – Vững chắc 🟢</t>
  </si>
  <si>
    <t xml:space="preserve">Trẻ tự thực hiện trong nhiều tình huống khác nhau, có thể chuyển sang bối cảnh mới.</t>
  </si>
  <si>
    <t xml:space="preserve">X – Chưa quan sát</t>
  </si>
  <si>
    <t xml:space="preserve">Chưa có cơ hội quan sát trong giai đoạn này. Cần tạo thêm cơ hội.</t>
  </si>
  <si>
    <t xml:space="preserve">   CÁC SHEET TRONG BỘ RUBRIC</t>
  </si>
  <si>
    <t xml:space="preserve">RUBRIC_TONG_HOP</t>
  </si>
  <si>
    <t xml:space="preserve">Rubric tổng hợp 4 độ tuổi × 5 lĩnh vực + 4 phẩm chất + 5 năng lực</t>
  </si>
  <si>
    <t xml:space="preserve">PHIEU_CA_NHAN</t>
  </si>
  <si>
    <t xml:space="preserve">Phiếu đánh giá phát triển cá nhân trẻ (in cho từng trẻ, điền 4 lần/năm)</t>
  </si>
  <si>
    <t xml:space="preserve">BANG_KIEM_LOP</t>
  </si>
  <si>
    <t xml:space="preserve">Bảng kiểm theo dõi toàn lớp theo tháng (1 dòng = 1 trẻ)</t>
  </si>
  <si>
    <t xml:space="preserve">RUBRIC_PHAM_CHAT</t>
  </si>
  <si>
    <t xml:space="preserve">Rubric riêng cho 4 phẩm chất cốt lõi</t>
  </si>
  <si>
    <t xml:space="preserve">RUBRIC_5NL</t>
  </si>
  <si>
    <t xml:space="preserve">Rubric riêng cho 5 năng lực nền tảng</t>
  </si>
  <si>
    <t xml:space="preserve">NHAT_KY_QS</t>
  </si>
  <si>
    <t xml:space="preserve">Mẫu nhật ký quan sát – ghi chép tình huống thực tế</t>
  </si>
  <si>
    <t xml:space="preserve">PHIEU_CMHS</t>
  </si>
  <si>
    <t xml:space="preserve">   NGUYÊN TẮC SỬ DỤNG</t>
  </si>
  <si>
    <t xml:space="preserve">1.</t>
  </si>
  <si>
    <t xml:space="preserve">Không dùng Rubric để so sánh trẻ này với trẻ khác</t>
  </si>
  <si>
    <t xml:space="preserve">2.</t>
  </si>
  <si>
    <t xml:space="preserve">Chỉ so sánh trẻ với chính trẻ đó ở thời điểm trước</t>
  </si>
  <si>
    <t xml:space="preserve">3.</t>
  </si>
  <si>
    <t xml:space="preserve">Mỗi lần đánh giá phải có minh chứng cụ thể (ghi vào cột Minh chứng)</t>
  </si>
  <si>
    <t xml:space="preserve">4.</t>
  </si>
  <si>
    <t xml:space="preserve">Nếu trẻ chưa đạt → lập kế hoạch hỗ trợ ngay, không chờ cuối năm</t>
  </si>
  <si>
    <t xml:space="preserve">5.</t>
  </si>
  <si>
    <t xml:space="preserve">Chia sẻ kết quả với phụ huynh bằng ngôn ngữ tích cực, mô tả hành vi cụ thể</t>
  </si>
  <si>
    <t xml:space="preserve">ĐỒNG BỘ KẾ HOẠCH 12–24 &amp; 24–36 THÁNG</t>
  </si>
  <si>
    <t xml:space="preserve">Bộ 12–24th: 4 mốc đầu · Bộ 24–36th: 4 mốc sau · Giữ nguyên mã &amp; YCCĐ</t>
  </si>
  <si>
    <t xml:space="preserve">Mã</t>
  </si>
  <si>
    <t xml:space="preserve">Năng lực</t>
  </si>
  <si>
    <t xml:space="preserve">YCCĐ 36th</t>
  </si>
  <si>
    <t xml:space="preserve">NHÓM 12–24 THÁNG
12–15th</t>
  </si>
  <si>
    <t xml:space="preserve">15–18th</t>
  </si>
  <si>
    <t xml:space="preserve">18–21th</t>
  </si>
  <si>
    <t xml:space="preserve">21–24th</t>
  </si>
  <si>
    <t xml:space="preserve">NHÓM 24–36 THÁNG
24–27th</t>
  </si>
  <si>
    <t xml:space="preserve">27–30th</t>
  </si>
  <si>
    <t xml:space="preserve">30–33th</t>
  </si>
  <si>
    <t xml:space="preserve">33–36th</t>
  </si>
  <si>
    <t xml:space="preserve">TC1.1</t>
  </si>
  <si>
    <t xml:space="preserve">TC1 - Tích cực tham gia vào các hoạt động thể chất</t>
  </si>
  <si>
    <t xml:space="preserve">Vui vẻ, hào hứng tham gia vào các hoạt động thể chất.</t>
  </si>
  <si>
    <t xml:space="preserve">Hóng, mỉm cười khi cô vận động cùng (vẫy tay, vỗ tay).</t>
  </si>
  <si>
    <t xml:space="preserve">Bắt chước 1–2 động tác đơn giản khi cô làm mẫu và đỡ.</t>
  </si>
  <si>
    <t xml:space="preserve">Vận động cùng cô theo nhạc ngắn (nhún, vỗ tay) khi được khích lệ.</t>
  </si>
  <si>
    <t xml:space="preserve">Hào hứng tham gia 1 hoạt động vận động ngắn, ít cần khích lệ.</t>
  </si>
  <si>
    <t xml:space="preserve">Chủ động tham gia vận động cùng nhóm, tỏ rõ thích thú.</t>
  </si>
  <si>
    <t xml:space="preserve">Tham gia trọn hoạt động thể chất, vui vẻ làm theo cô.</t>
  </si>
  <si>
    <t xml:space="preserve">Hăng hái tham gia nhiều dạng vận động khác nhau.</t>
  </si>
  <si>
    <t xml:space="preserve">TC1.2</t>
  </si>
  <si>
    <t xml:space="preserve">Cố gắng hoàn thành nhiệm vụ thể chất với sự hỗ trợ.</t>
  </si>
  <si>
    <t xml:space="preserve">Với/bò tới lấy đồ chơi ở gần khi cô khích lệ.</t>
  </si>
  <si>
    <t xml:space="preserve">Cố thực hiện 1 vận động ngắn (bò tới đích) khi cô cầm tay.</t>
  </si>
  <si>
    <t xml:space="preserve">Làm hết 1 lượt vận động ngắn với sự làm mẫu của cô.</t>
  </si>
  <si>
    <t xml:space="preserve">Cố hoàn thành nhiệm vụ vận động đơn giản, ít trợ giúp.</t>
  </si>
  <si>
    <t xml:space="preserve">Hoàn thành nhiệm vụ vận động ngắn khi được nhắc.</t>
  </si>
  <si>
    <t xml:space="preserve">Tự cố gắng đến hết lượt, nhờ cô khi thật cần.</t>
  </si>
  <si>
    <t xml:space="preserve">Hoàn thành nhiệm vụ vận động vừa sức, kiên trì hơn.</t>
  </si>
  <si>
    <t xml:space="preserve">TC2.1</t>
  </si>
  <si>
    <t xml:space="preserve">TC2 - Thích ứng với sự thay đổi của hoạt động thể chất và chế độ sinh hoạt</t>
  </si>
  <si>
    <t xml:space="preserve">Duy trì thực hiện các hoạt động ăn, ngủ, vệ sinh khi thay đổi môi trường.</t>
  </si>
  <si>
    <t xml:space="preserve">Quen được trấn an khi ăn/ngủ ở lớp với cô quen thuộc.</t>
  </si>
  <si>
    <t xml:space="preserve">Theo nề nếp ăn–ngủ–vệ sinh quen thuộc trong lớp.</t>
  </si>
  <si>
    <t xml:space="preserve">Giữ nề nếp khi đổi vị trí trong lớp, có cô hỗ trợ.</t>
  </si>
  <si>
    <t xml:space="preserve">Bước đầu duy trì nề nếp khi đổi phòng/người chăm sóc.</t>
  </si>
  <si>
    <t xml:space="preserve">Duy trì ăn–ngủ–vệ sinh khi thay đổi địa điểm, ít bỡ ngỡ.</t>
  </si>
  <si>
    <t xml:space="preserve">Tự giữ nề nếp khi đổi môi trường, cần nhắc ít.</t>
  </si>
  <si>
    <t xml:space="preserve">Ổn định nề nếp ở môi trường mới khá nhanh.</t>
  </si>
  <si>
    <t xml:space="preserve">TC2.2</t>
  </si>
  <si>
    <t xml:space="preserve">Tham gia hoạt động thể chất khi có sự thay đổi về địa điểm, yêu cầu hoạt động, bạn cùng chơi.</t>
  </si>
  <si>
    <t xml:space="preserve">Chấp nhận vận động ở vị trí mới khi có cô bên cạnh.</t>
  </si>
  <si>
    <t xml:space="preserve">Vận động cạnh bạn khác ở chỗ quen với cô.</t>
  </si>
  <si>
    <t xml:space="preserve">Tham gia vận động khi đổi vị trí (trong lớp/ngoài hiên).</t>
  </si>
  <si>
    <t xml:space="preserve">Vận động cạnh nhóm bạn khác có cô đi cùng.</t>
  </si>
  <si>
    <t xml:space="preserve">Tham gia vận động khi đổi địa điểm/bạn, ít bỡ ngỡ.</t>
  </si>
  <si>
    <t xml:space="preserve">Tham gia vận động với nhóm bạn thay đổi, mạnh dạn hơn.</t>
  </si>
  <si>
    <t xml:space="preserve">Thích ứng tốt khi đổi địa điểm, yêu cầu, bạn cùng chơi.</t>
  </si>
  <si>
    <t xml:space="preserve">TC3.1</t>
  </si>
  <si>
    <t xml:space="preserve">TC3. Thực hiện các vận động thô</t>
  </si>
  <si>
    <t xml:space="preserve">Tự thực hiện các vận động di chuyển với yêu cầu khác nhau, bước đầu kiểm soát vận động, giữ thăng bằng khi đi/chạy thay đổi hướng - tốc độ - địa hình; bò; đi lên xuống cầu thang có bám vịn; bật tiến về phía trước bằng hai chân.</t>
  </si>
  <si>
    <t xml:space="preserve">Men/đi có vịn vài bước; bò vững.</t>
  </si>
  <si>
    <t xml:space="preserve">Đi vài bước không vịn; bò qua vật thấp.</t>
  </si>
  <si>
    <t xml:space="preserve">Đi vững hơn; bước lên bậc thấp có bám tay.</t>
  </si>
  <si>
    <t xml:space="preserve">Đi/men ổn định; bò qua vật, lên bậc có vịn.</t>
  </si>
  <si>
    <t xml:space="preserve">Đi, chạy chậm có kiểm soát; bò; bật tại chỗ nhẹ.</t>
  </si>
  <si>
    <t xml:space="preserve">Đi/chạy đổi hướng; lên xuống cầu thang có vịn; bật về trước.</t>
  </si>
  <si>
    <t xml:space="preserve">Đi/chạy giữ thăng bằng khá tốt; bật tiến tốt hơn.</t>
  </si>
  <si>
    <t xml:space="preserve">TC3.2</t>
  </si>
  <si>
    <t xml:space="preserve">Thực hiện vận động với dụng cụ/thiết bị, vận động cùng giáo viên: di chuyển có mang vật; ném xa bằng một tay; ném trúng đích ngang tối thiểu 1,2m; tung - bắt bóng với giáo viên; đá trúng quả bóng đứng yên; trèo lên - xuống mô hình có hỗ trợ; bò qua chướng ngại vật.</t>
  </si>
  <si>
    <t xml:space="preserve">Cầm, thả, lăn đồ vật to cùng cô.</t>
  </si>
  <si>
    <t xml:space="preserve">Lăn bóng cùng cô; mang vật khi đi.</t>
  </si>
  <si>
    <t xml:space="preserve">Lăn/thả bóng; bò qua vật mềm có hỗ trợ.</t>
  </si>
  <si>
    <t xml:space="preserve">Tung bóng hai tay gần; bò qua vật cản thấp.</t>
  </si>
  <si>
    <t xml:space="preserve">Tung–bắt bóng với cô (gần); ném về trước.</t>
  </si>
  <si>
    <t xml:space="preserve">Ném về trước; tung–bắt bóng với cô; bò qua chướng ngại.</t>
  </si>
  <si>
    <t xml:space="preserve">Ném xa hơn; tung–bắt khá hơn; trèo lên–xuống mô hình có hỗ trợ.</t>
  </si>
  <si>
    <t xml:space="preserve">TC3.3</t>
  </si>
  <si>
    <t xml:space="preserve">Thực hiện vận động tại chỗ, bước đầu giữ thăng bằng tĩnh: ngồi xổm thoải mái và đứng lên không cần hỗ trợ, giữ thăng bằng trên 1 chân; bật nhảy tại chỗ.</t>
  </si>
  <si>
    <t xml:space="preserve">Ngồi xuống – đứng lên có điểm tựa.</t>
  </si>
  <si>
    <t xml:space="preserve">Đứng vịn vững; nhún tại chỗ theo cô.</t>
  </si>
  <si>
    <t xml:space="preserve">Ngồi xổm – đứng lên ít cần tựa.</t>
  </si>
  <si>
    <t xml:space="preserve">Ngồi xổm – đứng lên không cần tựa; tập nhún.</t>
  </si>
  <si>
    <t xml:space="preserve">Bật nhẹ tại chỗ; giữ thăng bằng ngắn.</t>
  </si>
  <si>
    <t xml:space="preserve">Bật nhảy tại chỗ; đứng co chân giữ thăng bằng (giây ngắn).</t>
  </si>
  <si>
    <t xml:space="preserve">Giữ thăng bằng 1 chân khá hơn; bật tại chỗ tốt.</t>
  </si>
  <si>
    <t xml:space="preserve">TC3.4</t>
  </si>
  <si>
    <t xml:space="preserve">Thực hiện các vận động thô phù hợp trong một số hoạt động sinh hoạt hằng ngày.</t>
  </si>
  <si>
    <t xml:space="preserve">Tự đi đến chỗ ngồi theo cô.</t>
  </si>
  <si>
    <t xml:space="preserve">Đi lấy đồ vật quen thuộc theo yêu cầu.</t>
  </si>
  <si>
    <t xml:space="preserve">Di chuyển theo cô khi chuyển hoạt động.</t>
  </si>
  <si>
    <t xml:space="preserve">Đi/bò vận dụng trong vài hoạt động trong ngày.</t>
  </si>
  <si>
    <t xml:space="preserve">Vận dụng đi/chạy/bò trong sinh hoạt, ít cần nhắc.</t>
  </si>
  <si>
    <t xml:space="preserve">Tự di chuyển hợp lý giữa các hoạt động.</t>
  </si>
  <si>
    <t xml:space="preserve">Vận dụng vận động thô linh hoạt trong sinh hoạt.</t>
  </si>
  <si>
    <t xml:space="preserve">TC4.1</t>
  </si>
  <si>
    <t xml:space="preserve">TC4. Thực hiện các vận động tinh</t>
  </si>
  <si>
    <t xml:space="preserve">Thao tác với đồ vật, vật liệu bước đầu thể hiện khả năng kiểm soát, điều chỉnh vận động cơ nhỏ bàn tay, ngón tay, phối hợp tay – mắt: sử dụng dụng cụ quen thuộc; vẽ các đường xoáy tròn, nét xổ thẳng, nét xiên; xếp chồng được tối thiểu 5 │khối trụ; tháo lắp, xếp lồng; nhào nặn; xâu; lật giở trang sách.</t>
  </si>
  <si>
    <t xml:space="preserve">Cầm, đập, thả đồ vật to.</t>
  </si>
  <si>
    <t xml:space="preserve">Xếp chồng 2 khối; bốc nhả đồ vật.</t>
  </si>
  <si>
    <t xml:space="preserve">Xếp chồng 2–3 khối; tháo–lắp; di màu cả bàn tay.</t>
  </si>
  <si>
    <t xml:space="preserve">Xếp 3–4 khối; xâu hạt to; lật trang sách dày.</t>
  </si>
  <si>
    <t xml:space="preserve">Xếp 4–5 khối; vẽ nét nguệch ngoạc; xâu hạt.</t>
  </si>
  <si>
    <t xml:space="preserve">Vẽ nét xổ/xiên; xếp chồng khối; tháo lắp xếp lồng.</t>
  </si>
  <si>
    <t xml:space="preserve">Vẽ đường xoáy/nét; xếp ≥5 khối; nhào nặn; xâu thành thạo hơn.</t>
  </si>
  <si>
    <t xml:space="preserve">TC4.2</t>
  </si>
  <si>
    <t xml:space="preserve">Sử dụng được vận động tinh phù hợp trong một sổ hoạt động sinh hoạt hằng ngày.</t>
  </si>
  <si>
    <t xml:space="preserve">Cầm cốc/thìa (cô đỡ); bốc nhón thức ăn.</t>
  </si>
  <si>
    <t xml:space="preserve">Tập tự cầm thìa vài thìa; cầm khăn.</t>
  </si>
  <si>
    <t xml:space="preserve">Tự xúc vài thìa; cầm cốc uống có hỗ trợ.</t>
  </si>
  <si>
    <t xml:space="preserve">Tự xúc khá hơn; lấy–cất đồ vật nhỏ.</t>
  </si>
  <si>
    <t xml:space="preserve">Tự xúc ăn; cầm cốc uống; mở–đóng hộp to.</t>
  </si>
  <si>
    <t xml:space="preserve">Tự phục vụ ăn uống; cởi/đội mũ với hỗ trợ.</t>
  </si>
  <si>
    <t xml:space="preserve">Tự xúc ăn gọn; cất đồ dùng cá nhân khá tốt.</t>
  </si>
  <si>
    <t xml:space="preserve">TC5.1</t>
  </si>
  <si>
    <t xml:space="preserve">TC5. Thực hành dinh dưỡng</t>
  </si>
  <si>
    <t xml:space="preserve">Thể hiện một số nhận biết về dinh dưỡng: nói được tên một số thực phẩm, món ăn thông thường và một số thực phẩm không nên ăn.</t>
  </si>
  <si>
    <t xml:space="preserve">Nhìn/với lấy món ăn, quả quen thuộc.</t>
  </si>
  <si>
    <t xml:space="preserve">Chỉ vào quả/món ăn khi cô gọi tên.</t>
  </si>
  <si>
    <t xml:space="preserve">Nhận ra, chỉ 1–2 thực phẩm quen thuộc.</t>
  </si>
  <si>
    <t xml:space="preserve">Gọi tên (theo cách của trẻ) vài thực phẩm.</t>
  </si>
  <si>
    <t xml:space="preserve">Nói tên vài thực phẩm, món ăn thông thường.</t>
  </si>
  <si>
    <t xml:space="preserve">Nói tên nhiều thực phẩm; phân biệt món quen.</t>
  </si>
  <si>
    <t xml:space="preserve">Nói tên món ăn; bước đầu biết thực phẩm không nên ăn.</t>
  </si>
  <si>
    <t xml:space="preserve">TC5.2</t>
  </si>
  <si>
    <t xml:space="preserve">Thực hành hành vi tốt trong ăn uống hằng ngày: ăn được đa dạng các loại thực phẩm, món ăn; tự xúc ăn và ăn hết khẩu phần.</t>
  </si>
  <si>
    <t xml:space="preserve">Làm quen ăn cháo/cơm nát; ngồi ăn có hỗ trợ.</t>
  </si>
  <si>
    <t xml:space="preserve">Ăn đa dạng hơn; tập tự xúc vài thìa.</t>
  </si>
  <si>
    <t xml:space="preserve">Tự xúc khá; ngồi ăn cùng nhóm.</t>
  </si>
  <si>
    <t xml:space="preserve">Tự xúc phần lớn; ăn đa dạng thực phẩm.</t>
  </si>
  <si>
    <t xml:space="preserve">Tự xúc ăn; ăn gần hết suất; ít rơi vãi.</t>
  </si>
  <si>
    <t xml:space="preserve">Ăn đa dạng; tự xúc gọn; ăn hết suất.</t>
  </si>
  <si>
    <t xml:space="preserve">Tự phục vụ ăn tốt; uống nước đúng cách.</t>
  </si>
  <si>
    <t xml:space="preserve">TC6.1</t>
  </si>
  <si>
    <t xml:space="preserve">TC6. Chăm sóc sức khỏe, vệ sinh và bảo đảm an toàn</t>
  </si>
  <si>
    <t xml:space="preserve">Có một số thói quen tốt trong sinh hoạt: ngủ đúng giờ, đi vệ sinh đúng nơi quy định, giữ vệ sinh cơ thể.</t>
  </si>
  <si>
    <t xml:space="preserve">Theo nề nếp ngủ–ăn–vệ sinh quen thuộc của lớp.</t>
  </si>
  <si>
    <t xml:space="preserve">Chấp nhận rửa tay, lau mặt khi cô làm.</t>
  </si>
  <si>
    <t xml:space="preserve">Đi vệ sinh đúng nơi có nhắc; ngủ đúng giờ.</t>
  </si>
  <si>
    <t xml:space="preserve">Giữ vệ sinh cơ thể với hỗ trợ; nề nếp ổn định.</t>
  </si>
  <si>
    <t xml:space="preserve">Có thói quen ngủ đúng giờ, đi vệ sinh đúng nơi.</t>
  </si>
  <si>
    <t xml:space="preserve">Tự giữ vệ sinh cơ thể với nhắc ít.</t>
  </si>
  <si>
    <t xml:space="preserve">Thói quen sinh hoạt khá ổn định, ít cần nhắc.</t>
  </si>
  <si>
    <t xml:space="preserve">TC6.2</t>
  </si>
  <si>
    <t xml:space="preserve">Thực hiện được một sổ hành vi vệ sinh cá nhân: đi vệ sinh đúng cách; che miệng khi ho, hắt hơi; súc miệng; lau mặt, mũi, rửa tay với sự giúp đỡ của │ người lớn.</t>
  </si>
  <si>
    <t xml:space="preserve">Hợp tác đưa tay khi cô rửa tay.</t>
  </si>
  <si>
    <t xml:space="preserve">Ngẩng mặt, hợp tác khi cô lau mặt, lau mũi.</t>
  </si>
  <si>
    <t xml:space="preserve">Hợp tác trọn thao tác vệ sinh cô làm.</t>
  </si>
  <si>
    <t xml:space="preserve">Bắt chước vài thao tác rửa tay cùng cô.</t>
  </si>
  <si>
    <t xml:space="preserve">Tự rửa tay, lau mặt vài bước với hỗ trợ.</t>
  </si>
  <si>
    <t xml:space="preserve">Thực hiện các bước vệ sinh cá nhân với nhắc.</t>
  </si>
  <si>
    <t xml:space="preserve">Tự rửa tay, lau mặt khá tốt; che miệng khi ho (tập).</t>
  </si>
  <si>
    <t xml:space="preserve">TC6.3</t>
  </si>
  <si>
    <t xml:space="preserve">Sử dụng được một số đồ dùng, dụng cụ vệ sinh phù hợp với sự hỗ trợ của │ người lớn.</t>
  </si>
  <si>
    <t xml:space="preserve">Nhận ra khăn, cốc của mình khi cô chỉ.</t>
  </si>
  <si>
    <t xml:space="preserve">Cầm được khăn, cốc của mình có hỗ trợ.</t>
  </si>
  <si>
    <t xml:space="preserve">Dùng khăn, cốc của mình với hỗ trợ.</t>
  </si>
  <si>
    <t xml:space="preserve">Lấy–cất khăn, cốc đúng nơi có nhắc.</t>
  </si>
  <si>
    <t xml:space="preserve">Sử dụng khăn, cốc, đồ dùng vệ sinh phù hợp.</t>
  </si>
  <si>
    <t xml:space="preserve">Dùng đúng đồ dùng cá nhân, ít nhầm.</t>
  </si>
  <si>
    <t xml:space="preserve">Sử dụng đồ dùng vệ sinh khá thành thạo.</t>
  </si>
  <si>
    <t xml:space="preserve">TC6.4</t>
  </si>
  <si>
    <t xml:space="preserve">Nhận biết và nói cho người lớn biết một số dấu hiệu đơn giản khi bị thương, bị đau hoặc cảm thấy khó chịu; chấp nhận mặc trang phục phù hợp thời tiết.</t>
  </si>
  <si>
    <t xml:space="preserve">Khóc/ra hiệu khi đau, khó chịu để cô biết.</t>
  </si>
  <si>
    <t xml:space="preserve">Kéo tay/chỉ chỗ đau cho cô.</t>
  </si>
  <si>
    <t xml:space="preserve">Ra hiệu rõ hơn khi đau; chấp nhận mặc/cởi áo.</t>
  </si>
  <si>
    <t xml:space="preserve">Báo cô khi khó chịu; chấp nhận đội mũ.</t>
  </si>
  <si>
    <t xml:space="preserve">Nói/ra hiệu vài dấu hiệu đau, mệt; mặc đúng thời tiết.</t>
  </si>
  <si>
    <t xml:space="preserve">Báo người lớn khi đau, mệt; tự chấp nhận trang phục.</t>
  </si>
  <si>
    <t xml:space="preserve">Nói được vài dấu hiệu không khỏe; mặc phù hợp thời tiết.</t>
  </si>
  <si>
    <t xml:space="preserve">TC6.5</t>
  </si>
  <si>
    <t xml:space="preserve">Thực hiện được một số hành vi vệ sinh môi trường.</t>
  </si>
  <si>
    <t xml:space="preserve">Bắt chước cô bỏ đồ vào rổ.</t>
  </si>
  <si>
    <t xml:space="preserve">Bỏ rác/đồ vào nơi cô chỉ.</t>
  </si>
  <si>
    <t xml:space="preserve">Tránh xa nơi cô chỉ là bẩn/nguy hiểm.</t>
  </si>
  <si>
    <t xml:space="preserve">Bắt chước lau, dọn đơn giản cùng cô.</t>
  </si>
  <si>
    <t xml:space="preserve">Thực hiện vài hành vi giữ vệ sinh môi trường.</t>
  </si>
  <si>
    <t xml:space="preserve">Bỏ rác đúng nơi, cất đồ gọn với nhắc.</t>
  </si>
  <si>
    <t xml:space="preserve">Giữ vệ sinh môi trường khá tự giác.</t>
  </si>
  <si>
    <t xml:space="preserve">TC7.1</t>
  </si>
  <si>
    <t xml:space="preserve">TC7 - Biết và có kỹ năng bảo đảm an toàn</t>
  </si>
  <si>
    <t xml:space="preserve">Nhận biết một số dấu hiệu cảnh báo nguy hiểm.</t>
  </si>
  <si>
    <t xml:space="preserve">Dừng lại/chú ý khi cô kêu 'Không!', 'Nóng!'.</t>
  </si>
  <si>
    <t xml:space="preserve">Tránh vật cô chỉ là nguy hiểm.</t>
  </si>
  <si>
    <t xml:space="preserve">Nhận ra vài nơi/vật nguy hiểm khi cô chỉ.</t>
  </si>
  <si>
    <t xml:space="preserve">Chú ý dấu hiệu cô cảnh báo (đèn đỏ, ký hiệu).</t>
  </si>
  <si>
    <t xml:space="preserve">Nhận biết vài dấu hiệu cảnh báo nguy hiểm.</t>
  </si>
  <si>
    <t xml:space="preserve">Nhận biết màu đỏ là dừng; vài ký hiệu đơn giản.</t>
  </si>
  <si>
    <t xml:space="preserve">Nhận biết nhiều dấu hiệu cảnh báo nguy hiểm hơn.</t>
  </si>
  <si>
    <t xml:space="preserve">TC7.2</t>
  </si>
  <si>
    <t xml:space="preserve">Tránh một số đồ vật, địa điểm nguy hiểm, không thực hiện những hành động gây nguy hiểm khi được nhắc nhở.</t>
  </si>
  <si>
    <t xml:space="preserve">Dừng hành động khi cô nhắc (kèm cử chỉ).</t>
  </si>
  <si>
    <t xml:space="preserve">Rời xa ổ điện, bậc cao khi có cô.</t>
  </si>
  <si>
    <t xml:space="preserve">Tránh vật nóng/nguy hiểm khi được nhắc.</t>
  </si>
  <si>
    <t xml:space="preserve">Không làm hành động nguy hiểm khi cô nhắc.</t>
  </si>
  <si>
    <t xml:space="preserve">Tránh đồ vật/nơi nguy hiểm khá tự giác.</t>
  </si>
  <si>
    <t xml:space="preserve">Không leo trèo, không ra cổng khi được nhắc.</t>
  </si>
  <si>
    <t xml:space="preserve">Tránh nguy hiểm và dừng hành vi nguy hiểm khá tốt.</t>
  </si>
  <si>
    <t xml:space="preserve">TX1.1</t>
  </si>
  <si>
    <t xml:space="preserve">TX1. Nhận biết bản thân</t>
  </si>
  <si>
    <t xml:space="preserve">Nhận ra bản thân trong gương, trong ảnh khi được hỏi.</t>
  </si>
  <si>
    <t xml:space="preserve">Quay đầu/phản ứng khi được gọi đúng tên.</t>
  </si>
  <si>
    <t xml:space="preserve">Nhìn vào gương, ảnh khi cô chỉ.</t>
  </si>
  <si>
    <t xml:space="preserve">Chú ý hình mình trong gương/ảnh (chưa tự nhận ra).</t>
  </si>
  <si>
    <t xml:space="preserve">Bước đầu nhận ra mình trong ảnh quen thuộc khi cô hỏi.</t>
  </si>
  <si>
    <t xml:space="preserve">Nhận ra mình trong gương khi được hỏi.</t>
  </si>
  <si>
    <t xml:space="preserve">Nhận ra mình trong ảnh; chỉ đúng khi cô hỏi.</t>
  </si>
  <si>
    <t xml:space="preserve">Nhận ra mình trong gương và ảnh khá chắc chắn.</t>
  </si>
  <si>
    <t xml:space="preserve">TX1.2</t>
  </si>
  <si>
    <t xml:space="preserve">Thể hiện nhu cầu của bản thân bằng cử chỉ, hành động, lời nói.</t>
  </si>
  <si>
    <t xml:space="preserve">Khóc/ra hiệu khi đói, khát, muốn bế.</t>
  </si>
  <si>
    <t xml:space="preserve">Chỉ tay, kéo tay để bày tỏ nhu cầu.</t>
  </si>
  <si>
    <t xml:space="preserve">Dùng tiếng một + cử chỉ bày tỏ nhu cầu.</t>
  </si>
  <si>
    <t xml:space="preserve">Nói tiếng/câu một tiếng bày tỏ nhu cầu rõ hơn.</t>
  </si>
  <si>
    <t xml:space="preserve">Bày tỏ nhu cầu bằng cử chỉ + lời nói ngắn.</t>
  </si>
  <si>
    <t xml:space="preserve">Dùng lời nói đơn giản nói nhu cầu (con uống...).</t>
  </si>
  <si>
    <t xml:space="preserve">Diễn đạt nhu cầu bằng câu ngắn khá rõ.</t>
  </si>
  <si>
    <t xml:space="preserve">TX1.3</t>
  </si>
  <si>
    <t xml:space="preserve">Thể hiện điều bản thân thích hoặc không thích thông qua hành vi, lời nói.</t>
  </si>
  <si>
    <t xml:space="preserve">Với lấy đồ chơi thích; đẩy ra cái không thích.</t>
  </si>
  <si>
    <t xml:space="preserve">Quay đi/đẩy ra rõ với cái không thích.</t>
  </si>
  <si>
    <t xml:space="preserve">Chọn đồ chơi/món ăn thích khi được mời.</t>
  </si>
  <si>
    <t xml:space="preserve">Bày tỏ thích/không thích bằng cử chỉ rõ.</t>
  </si>
  <si>
    <t xml:space="preserve">Nói/ra hiệu điều thích, không thích.</t>
  </si>
  <si>
    <t xml:space="preserve">Bày tỏ sở thích bằng lời nói đơn giản.</t>
  </si>
  <si>
    <t xml:space="preserve">Diễn đạt thích/không thích bằng câu ngắn.</t>
  </si>
  <si>
    <t xml:space="preserve">TX2.1</t>
  </si>
  <si>
    <t xml:space="preserve">TX2. Quản lý bản thân</t>
  </si>
  <si>
    <t xml:space="preserve">Nhận ra một số cảm xúc cơ bản của bản thân.</t>
  </si>
  <si>
    <t xml:space="preserve">Biểu lộ rõ vui/khó chịu (cười, khóc).</t>
  </si>
  <si>
    <t xml:space="preserve">Được cô gọi tên cảm xúc trong tình huống.</t>
  </si>
  <si>
    <t xml:space="preserve">Nhận ra cảm xúc vui–buồn qua tranh khi cô hỏi.</t>
  </si>
  <si>
    <t xml:space="preserve">Chỉ/nói cảm xúc vui–buồn của mình khi cô gợi.</t>
  </si>
  <si>
    <t xml:space="preserve">Nhận ra vài cảm xúc cơ bản của bản thân.</t>
  </si>
  <si>
    <t xml:space="preserve">Gọi tên cảm xúc vui, buồn, sợ của mình.</t>
  </si>
  <si>
    <t xml:space="preserve">Nhận biết nhiều cảm xúc cơ bản hơn.</t>
  </si>
  <si>
    <t xml:space="preserve">TX2.2</t>
  </si>
  <si>
    <t xml:space="preserve">Biểu lộ các cảm xúc khác nhau qua nét mặt, cử chỉ, hành động, lời nói.</t>
  </si>
  <si>
    <t xml:space="preserve">Cười, vỗ tay khi vui; lắc đầu khi không thích.</t>
  </si>
  <si>
    <t xml:space="preserve">Thể hiện vui/không thích qua nét mặt, cử chỉ.</t>
  </si>
  <si>
    <t xml:space="preserve">Biểu lộ vài cảm xúc qua nét mặt rõ hơn.</t>
  </si>
  <si>
    <t xml:space="preserve">Bắt chước nét mặt biểu cảm cùng cô.</t>
  </si>
  <si>
    <t xml:space="preserve">Thể hiện vui, buồn, thích qua nét mặt + cử chỉ.</t>
  </si>
  <si>
    <t xml:space="preserve">Biểu lộ cảm xúc bằng cử chỉ + lời nói ngắn.</t>
  </si>
  <si>
    <t xml:space="preserve">Thể hiện nhiều cảm xúc khác nhau khá rõ.</t>
  </si>
  <si>
    <t xml:space="preserve">TX2.3</t>
  </si>
  <si>
    <t xml:space="preserve">Dừng lại hoặc thay đổi hành vi khi được người lớn nhắc nhở.</t>
  </si>
  <si>
    <t xml:space="preserve">Dừng/đổi hành vi khi cô nhắc kèm cử chỉ.</t>
  </si>
  <si>
    <t xml:space="preserve">Dừng hành vi khi cô nhắc, ít cần cử chỉ.</t>
  </si>
  <si>
    <t xml:space="preserve">Chuyển hoạt động theo cô khi được nhắc.</t>
  </si>
  <si>
    <t xml:space="preserve">Dừng và đổi hành vi khi cô nhắc rõ hơn.</t>
  </si>
  <si>
    <t xml:space="preserve">Dừng hành vi không phù hợp khi được nhắc.</t>
  </si>
  <si>
    <t xml:space="preserve">Chờ đến lượt trong tình huống đơn giản.</t>
  </si>
  <si>
    <t xml:space="preserve">Tự điều chỉnh hành vi khá tốt khi được nhắc.</t>
  </si>
  <si>
    <t xml:space="preserve">TX3.1</t>
  </si>
  <si>
    <t xml:space="preserve">TX3. Nhận biết về các mối quan hệ xã hội</t>
  </si>
  <si>
    <t xml:space="preserve">Nhận biết vị trí của bản thân là con/cháu/em... trong gia đình, nhóm, lớp.</t>
  </si>
  <si>
    <t xml:space="preserve">Quen lớp, nhóm; phản ứng khi nghe 'các con'.</t>
  </si>
  <si>
    <t xml:space="preserve">Nhận ra người thân quen khi đến lớp.</t>
  </si>
  <si>
    <t xml:space="preserve">Biết mình thuộc nhóm/lớp khi cô nhắc.</t>
  </si>
  <si>
    <t xml:space="preserve">Nhận biết vị trí mình (con/em) trong tình huống.</t>
  </si>
  <si>
    <t xml:space="preserve">Nhận biết là con/cháu/em trong gia đình, nhóm.</t>
  </si>
  <si>
    <t xml:space="preserve">Biết mình là thành viên của lớp, nhóm.</t>
  </si>
  <si>
    <t xml:space="preserve">Nhận biết vị trí bản thân khá rõ trong các quan hệ.</t>
  </si>
  <si>
    <t xml:space="preserve">TX3.2</t>
  </si>
  <si>
    <t xml:space="preserve">Nhận biết một vài thông tin về bản thân.</t>
  </si>
  <si>
    <t xml:space="preserve">Phản ứng với tên mình.</t>
  </si>
  <si>
    <t xml:space="preserve">Chỉ 1–2 bộ phận cơ thể khi cô hỏi.</t>
  </si>
  <si>
    <t xml:space="preserve">Chỉ vài bộ phận; biết tên mình.</t>
  </si>
  <si>
    <t xml:space="preserve">Nói (theo cách của trẻ) tên mình; chỉ bộ phận.</t>
  </si>
  <si>
    <t xml:space="preserve">Biết tên, vài thông tin về bản thân.</t>
  </si>
  <si>
    <t xml:space="preserve">Biết tên, giới tính của mình.</t>
  </si>
  <si>
    <t xml:space="preserve">Nói được tên, giới tính, vài đặc điểm bản thân.</t>
  </si>
  <si>
    <t xml:space="preserve">TX3.3</t>
  </si>
  <si>
    <t xml:space="preserve">Nhận biết và gọi tên người thân, cô giáo/thẩy giáo, bạn bè.</t>
  </si>
  <si>
    <t xml:space="preserve">Hướng về cô, người thân quen.</t>
  </si>
  <si>
    <t xml:space="preserve">Bập bẹ gọi (bà, mẹ, cô) theo cách của trẻ.</t>
  </si>
  <si>
    <t xml:space="preserve">Nhận ra, gọi tên người thân quen.</t>
  </si>
  <si>
    <t xml:space="preserve">Gọi tên cô, vài bạn quen.</t>
  </si>
  <si>
    <t xml:space="preserve">Nhận biết, gọi tên người thân, cô, bạn.</t>
  </si>
  <si>
    <t xml:space="preserve">Gọi đúng tên nhiều bạn, người thân hơn.</t>
  </si>
  <si>
    <t xml:space="preserve">Nhận biết, gọi tên người thân, cô, bạn khá rõ.</t>
  </si>
  <si>
    <t xml:space="preserve">TX4.1</t>
  </si>
  <si>
    <t xml:space="preserve">TX4. Thiết lập và duy trì mối quan hệ xã hội</t>
  </si>
  <si>
    <t xml:space="preserve">Làm quen với người khác bằng cử chỉ, hành động, lời nói đơn giản.</t>
  </si>
  <si>
    <t xml:space="preserve">Vẫy tay, cười với người quen.</t>
  </si>
  <si>
    <t xml:space="preserve">Bắt chước chào theo cô.</t>
  </si>
  <si>
    <t xml:space="preserve">Chào, làm quen người quen mới với cô.</t>
  </si>
  <si>
    <t xml:space="preserve">Chủ động vẫy tay, cười chào hơn.</t>
  </si>
  <si>
    <t xml:space="preserve">Làm quen người khác bằng cử chỉ, lời nói ngắn.</t>
  </si>
  <si>
    <t xml:space="preserve">Chào hỏi, làm quen bạn mới mạnh dạn hơn.</t>
  </si>
  <si>
    <t xml:space="preserve">Giao tiếp làm quen khá tự nhiên.</t>
  </si>
  <si>
    <t xml:space="preserve">TX4.2</t>
  </si>
  <si>
    <t xml:space="preserve">Sử dụng cử chỉ, lời nói đơn giản để thể hiện nhu cầu, mong muốn và cảm xúc với người thân, cô giáo/thầy giáo và bạn bè.</t>
  </si>
  <si>
    <t xml:space="preserve">Chỉ tay, kéo tay cho cô biết điều muốn.</t>
  </si>
  <si>
    <t xml:space="preserve">Dùng tiếng một + cử chỉ với cô.</t>
  </si>
  <si>
    <t xml:space="preserve">Ra hiệu/nói nhu cầu với cô, bạn.</t>
  </si>
  <si>
    <t xml:space="preserve">Nói câu ngắn bày tỏ mong muốn.</t>
  </si>
  <si>
    <t xml:space="preserve">Dùng cử chỉ, lời nói nói nhu cầu, cảm xúc.</t>
  </si>
  <si>
    <t xml:space="preserve">Nói 'con muốn', 'con cần cô giúp'.</t>
  </si>
  <si>
    <t xml:space="preserve">Diễn đạt nhu cầu, mong muốn, cảm xúc khá rõ.</t>
  </si>
  <si>
    <t xml:space="preserve">TX4.3</t>
  </si>
  <si>
    <t xml:space="preserve">Giúp đỡ bạn khi có sự hướng dẫn của người lớn.</t>
  </si>
  <si>
    <t xml:space="preserve">Đưa/đặt đồ vật cho bạn khi cô bảo.</t>
  </si>
  <si>
    <t xml:space="preserve">Bắt chước hành động giúp cùng cô.</t>
  </si>
  <si>
    <t xml:space="preserve">Đưa đồ cho bạn theo lời cô rõ hơn.</t>
  </si>
  <si>
    <t xml:space="preserve">Giúp bạn việc đơn giản khi cô hướng dẫn.</t>
  </si>
  <si>
    <t xml:space="preserve">Giúp đỡ bạn việc nhỏ khi có hướng dẫn.</t>
  </si>
  <si>
    <t xml:space="preserve">Chủ động giúp bạn hơn khi cô gợi ý.</t>
  </si>
  <si>
    <t xml:space="preserve">Giúp đỡ bạn khá tự nhiên khi được hướng dẫn.</t>
  </si>
  <si>
    <t xml:space="preserve">TX5.1</t>
  </si>
  <si>
    <t xml:space="preserve">TX5. Thể hiện và chia sẻ cảm xúc với người khác</t>
  </si>
  <si>
    <t xml:space="preserve">Nhận ra và gọi tên một số cảm xúc của người khác.</t>
  </si>
  <si>
    <t xml:space="preserve">Nhìn theo khi bạn khóc/cười.</t>
  </si>
  <si>
    <t xml:space="preserve">Phản ứng (chú ý) với cảm xúc của bạn.</t>
  </si>
  <si>
    <t xml:space="preserve">Chú ý nét mặt cô, bạn khi cô chỉ.</t>
  </si>
  <si>
    <t xml:space="preserve">Nhận ra bạn vui/buồn khi cô gợi.</t>
  </si>
  <si>
    <t xml:space="preserve">Nhận ra vài cảm xúc của người khác.</t>
  </si>
  <si>
    <t xml:space="preserve">Gọi tên cảm xúc vui/buồn của bạn.</t>
  </si>
  <si>
    <t xml:space="preserve">Nhận ra, gọi tên nhiều cảm xúc người khác hơn.</t>
  </si>
  <si>
    <t xml:space="preserve">TX5.2</t>
  </si>
  <si>
    <t xml:space="preserve">Thể hiện tình cảm yêu quý, gắn bó với người thân, cô giáo/thầy giáo và bạn bè qua hành động, lời nói.</t>
  </si>
  <si>
    <t xml:space="preserve">Ôm, nép vào cô/người thân.</t>
  </si>
  <si>
    <t xml:space="preserve">Cười, đưa tay đòi bế người quen.</t>
  </si>
  <si>
    <t xml:space="preserve">Thích gần, thể hiện tình cảm với người quen.</t>
  </si>
  <si>
    <t xml:space="preserve">Làm cử chỉ thân thiện với cô, bạn.</t>
  </si>
  <si>
    <t xml:space="preserve">Thể hiện tình cảm yêu quý với người thân, cô, bạn.</t>
  </si>
  <si>
    <t xml:space="preserve">Thể hiện gắn bó qua hành động, lời nói ngắn.</t>
  </si>
  <si>
    <t xml:space="preserve">Thể hiện tình cảm yêu quý khá rõ qua lời, hành động.</t>
  </si>
  <si>
    <t xml:space="preserve">TX5.3</t>
  </si>
  <si>
    <t xml:space="preserve">Không làm đau người thân, cô giáo và bạn bè: đánh, cắn, xô đẩy...</t>
  </si>
  <si>
    <t xml:space="preserve">Dừng cào/cắn khi cô nhắc và hướng sang việc khác.</t>
  </si>
  <si>
    <t xml:space="preserve">Ít làm đau bạn hơn khi được nhắc.</t>
  </si>
  <si>
    <t xml:space="preserve">Dừng hành vi làm đau khi cô nhắc rõ.</t>
  </si>
  <si>
    <t xml:space="preserve">Chơi nhẹ nhàng hơn với bạn.</t>
  </si>
  <si>
    <t xml:space="preserve">Hạn chế đánh, cắn, xô khi được nhắc.</t>
  </si>
  <si>
    <t xml:space="preserve">Chơi hòa thuận, ít làm đau bạn.</t>
  </si>
  <si>
    <t xml:space="preserve">Không làm đau bạn khá tự giác.</t>
  </si>
  <si>
    <t xml:space="preserve">TX6.1</t>
  </si>
  <si>
    <t xml:space="preserve">TX6. Hợp tác với người khác</t>
  </si>
  <si>
    <t xml:space="preserve">Biết chơi cạnh bạn, không tranh giành với bạn.</t>
  </si>
  <si>
    <t xml:space="preserve">Chấp nhận có bạn bên cạnh với cô hỗ trợ.</t>
  </si>
  <si>
    <t xml:space="preserve">Chơi cạnh bạn thời gian ngắn.</t>
  </si>
  <si>
    <t xml:space="preserve">Chơi cạnh bạn lâu hơn với hỗ trợ.</t>
  </si>
  <si>
    <t xml:space="preserve">Chơi cạnh bạn, ít tranh giành.</t>
  </si>
  <si>
    <t xml:space="preserve">Chơi cạnh bạn, không tranh giành (có nhắc).</t>
  </si>
  <si>
    <t xml:space="preserve">Chơi cạnh bạn, biết chờ với hỗ trợ.</t>
  </si>
  <si>
    <t xml:space="preserve">Chơi cạnh bạn hòa thuận khá tốt.</t>
  </si>
  <si>
    <t xml:space="preserve">TX6.2</t>
  </si>
  <si>
    <t xml:space="preserve">Thể hiện lời nói/cử chỉ/hành động để yêu cầu người khác giúp đỡ.</t>
  </si>
  <si>
    <t xml:space="preserve">Khóc/kéo tay nhờ cô giúp khi gặp khó.</t>
  </si>
  <si>
    <t xml:space="preserve">Chỉ, đưa đồ vật nhờ cô giúp.</t>
  </si>
  <si>
    <t xml:space="preserve">Ra hiệu rõ hơn khi cần giúp.</t>
  </si>
  <si>
    <t xml:space="preserve">Nói tiếng/câu ngắn nhờ cô giúp.</t>
  </si>
  <si>
    <t xml:space="preserve">Yêu cầu giúp đỡ bằng cử chỉ + lời.</t>
  </si>
  <si>
    <t xml:space="preserve">Nói 'cô giúp con' khi cần.</t>
  </si>
  <si>
    <t xml:space="preserve">Chủ động nhờ giúp đỡ khá rõ ràng.</t>
  </si>
  <si>
    <t xml:space="preserve">TX7.1</t>
  </si>
  <si>
    <t xml:space="preserve">TX7. Ứng xử phù hợp với hoàn cảnh</t>
  </si>
  <si>
    <t xml:space="preserve">Thể hiện sự lễ phép trong giao tiếp với người thân, cô giáo/thầy giáo.</t>
  </si>
  <si>
    <t xml:space="preserve">Bắt chước vẫy tay chào theo cô.</t>
  </si>
  <si>
    <t xml:space="preserve">Bắt chước 'ạ', cúi đầu theo cô.</t>
  </si>
  <si>
    <t xml:space="preserve">Chào, 'ạ' trong tình huống quen thuộc.</t>
  </si>
  <si>
    <t xml:space="preserve">Chào hỏi lễ phép với nhắc của cô.</t>
  </si>
  <si>
    <t xml:space="preserve">Thể hiện lễ phép trong giao tiếp (có nhắc).</t>
  </si>
  <si>
    <t xml:space="preserve">Chủ động chào, 'ạ', cảm ơn hơn.</t>
  </si>
  <si>
    <t xml:space="preserve">Lễ phép trong giao tiếp khá tự nhiên.</t>
  </si>
  <si>
    <t xml:space="preserve">TX7.2</t>
  </si>
  <si>
    <t xml:space="preserve">Thực hiện một số quy định đơn giản trong gia đình và nhóm lớp.</t>
  </si>
  <si>
    <t xml:space="preserve">Ngồi vào chỗ theo cô khi có cử chỉ.</t>
  </si>
  <si>
    <t xml:space="preserve">Theo nề nếp giờ ăn/ngủ quen thuộc.</t>
  </si>
  <si>
    <t xml:space="preserve">Thực hiện hiệu lệnh kèm cử chỉ.</t>
  </si>
  <si>
    <t xml:space="preserve">Theo vài quy định đơn giản của lớp.</t>
  </si>
  <si>
    <t xml:space="preserve">Thực hiện quy định đơn giản ở nhóm lớp.</t>
  </si>
  <si>
    <t xml:space="preserve">Chờ đến lượt, theo quy định với nhắc ít.</t>
  </si>
  <si>
    <t xml:space="preserve">Thực hiện quy định nhóm lớp khá tự giác.</t>
  </si>
  <si>
    <t xml:space="preserve">TX7.3</t>
  </si>
  <si>
    <t xml:space="preserve">Biết cất dọn đồ chơi, đồ dùng cá nhân sau khi chơi, sử dụng với sự hướng dẫn của người lớn.</t>
  </si>
  <si>
    <t xml:space="preserve">Bắt chước bỏ đồ chơi vào rổ cùng cô.</t>
  </si>
  <si>
    <t xml:space="preserve">Đưa đồ vật cho cô khi được nhắc.</t>
  </si>
  <si>
    <t xml:space="preserve">Bỏ đồ chơi vào rổ sau khi chơi (có cô).</t>
  </si>
  <si>
    <t xml:space="preserve">Cất đồ chơi với hướng dẫn rõ hơn.</t>
  </si>
  <si>
    <t xml:space="preserve">Cất đồ chơi, đồ dùng cá nhân với hướng dẫn.</t>
  </si>
  <si>
    <t xml:space="preserve">Cất dọn khá chủ động khi được nhắc.</t>
  </si>
  <si>
    <t xml:space="preserve">Cất dọn đồ chơi, đồ dùng khá tự giác.</t>
  </si>
  <si>
    <t xml:space="preserve">TX8.1</t>
  </si>
  <si>
    <t xml:space="preserve">TX8. Ứng xử thân thiện với môi trường</t>
  </si>
  <si>
    <t xml:space="preserve">Thực hiện một số cử chỉ, hành động đơn giản chăm sóc vật nuôi, cây trồng khi được hướng dẫn.</t>
  </si>
  <si>
    <t xml:space="preserve">Quan sát, chạm nhẹ cây/con vật an toàn.</t>
  </si>
  <si>
    <t xml:space="preserve">Bắt chước cô tưới cây, cho ăn.</t>
  </si>
  <si>
    <t xml:space="preserve">Tưới cây, cho cá ăn cùng cô.</t>
  </si>
  <si>
    <t xml:space="preserve">Chăm sóc cây/con vật đơn giản có hướng dẫn.</t>
  </si>
  <si>
    <t xml:space="preserve">Thực hiện vài cử chỉ chăm sóc khi được hướng dẫn.</t>
  </si>
  <si>
    <t xml:space="preserve">Chăm sóc cây/con vật chủ động hơn.</t>
  </si>
  <si>
    <t xml:space="preserve">Chăm sóc cây trồng, vật nuôi khá tự nhiên.</t>
  </si>
  <si>
    <t xml:space="preserve">TX8.2</t>
  </si>
  <si>
    <t xml:space="preserve">Thực hiện một số hành vi quan tâm, bảo vệ môi trường xung quanh.</t>
  </si>
  <si>
    <t xml:space="preserve">Bắt chước bỏ rác vào thùng cùng cô.</t>
  </si>
  <si>
    <t xml:space="preserve">Cất đồ vào nơi cô chỉ.</t>
  </si>
  <si>
    <t xml:space="preserve">Bỏ rác đúng nơi với nhắc.</t>
  </si>
  <si>
    <t xml:space="preserve">Bắt chước hành vi giữ môi trường sạch.</t>
  </si>
  <si>
    <t xml:space="preserve">Thực hiện vài hành vi bảo vệ môi trường.</t>
  </si>
  <si>
    <t xml:space="preserve">Bỏ rác, cất đồ đúng nơi chủ động hơn.</t>
  </si>
  <si>
    <t xml:space="preserve">Quan tâm giữ môi trường sạch khá tự giác.</t>
  </si>
  <si>
    <t xml:space="preserve">NN1.1</t>
  </si>
  <si>
    <t xml:space="preserve">NN1. Lắng nghe và hiểu lời nói</t>
  </si>
  <si>
    <t xml:space="preserve">Nghe và thực hiện được theo các hướng dẫn đơn giản bằng lời nói.</t>
  </si>
  <si>
    <t xml:space="preserve">Làm theo yêu cầu 1 hành động kèm cử chỉ (lại đây).</t>
  </si>
  <si>
    <t xml:space="preserve">Làm theo yêu cầu quen thuộc gắn tình huống.</t>
  </si>
  <si>
    <t xml:space="preserve">Làm theo yêu cầu 1 hành động, ít cần cử chỉ.</t>
  </si>
  <si>
    <t xml:space="preserve">Làm theo 1–2 yêu cầu đơn giản bằng lời.</t>
  </si>
  <si>
    <t xml:space="preserve">Nghe, làm theo hướng dẫn đơn giản bằng lời.</t>
  </si>
  <si>
    <t xml:space="preserve">Làm theo 2 yêu cầu liên tiếp đơn giản.</t>
  </si>
  <si>
    <t xml:space="preserve">Hiểu và làm theo hướng dẫn bằng lời khá tốt.</t>
  </si>
  <si>
    <t xml:space="preserve">NN1.2</t>
  </si>
  <si>
    <t xml:space="preserve">Hiểu và trả lời được câu hỏi đơn giản liên quan đến tình huống quen thuộc.</t>
  </si>
  <si>
    <t xml:space="preserve">Nhìn/chỉ vào đối tượng khi cô hỏi 'đâu rồi'.</t>
  </si>
  <si>
    <t xml:space="preserve">Chỉ tay trả lời 'ai đây', 'con gì'.</t>
  </si>
  <si>
    <t xml:space="preserve">Chỉ + phát tiếng trả lời câu hỏi đơn giản.</t>
  </si>
  <si>
    <t xml:space="preserve">Trả lời câu hỏi quen thuộc bằng tiếng một.</t>
  </si>
  <si>
    <t xml:space="preserve">Hiểu, trả lời câu hỏi đơn giản (tình huống quen).</t>
  </si>
  <si>
    <t xml:space="preserve">Trả lời câu hỏi bằng câu ngắn.</t>
  </si>
  <si>
    <t xml:space="preserve">Hiểu, trả lời nhiều câu hỏi đơn giản hơn.</t>
  </si>
  <si>
    <t xml:space="preserve">NN2.1</t>
  </si>
  <si>
    <t xml:space="preserve">NN2. Sử dụng ngôn ngữ trong cuộc sống hằng ngày</t>
  </si>
  <si>
    <t xml:space="preserve">Phát âm rõ các tiếng quen thuộc.</t>
  </si>
  <si>
    <t xml:space="preserve">Bập bẹ tiếng một quen thuộc (bà, măm).</t>
  </si>
  <si>
    <t xml:space="preserve">Phát âm tiếng một theo cô (bóng, gà).</t>
  </si>
  <si>
    <t xml:space="preserve">Phát âm nhiều tiếng quen thuộc hơn.</t>
  </si>
  <si>
    <t xml:space="preserve">Phát âm tiếng quen thuộc rõ hơn (ngôn ngữ tự trị giảm).</t>
  </si>
  <si>
    <t xml:space="preserve">Phát âm rõ vài tiếng quen thuộc.</t>
  </si>
  <si>
    <t xml:space="preserve">Phát âm rõ nhiều tiếng quen thuộc.</t>
  </si>
  <si>
    <t xml:space="preserve">Phát âm rõ, ít ngọng tiếng quen thuộc.</t>
  </si>
  <si>
    <t xml:space="preserve">NN2.2</t>
  </si>
  <si>
    <t xml:space="preserve">Sử dụng được câu đơn với các từ ngữ quen thuộc để diễn đạt ý muốn của bản thân.</t>
  </si>
  <si>
    <t xml:space="preserve">Dùng câu một tiếng (măm, bế) bày tỏ ý muốn.</t>
  </si>
  <si>
    <t xml:space="preserve">Dùng tiếng một + cử chỉ rõ hơn.</t>
  </si>
  <si>
    <t xml:space="preserve">Bắt đầu ghép câu hai tiếng (~18–20th).</t>
  </si>
  <si>
    <t xml:space="preserve">Dùng câu hai tiếng bày tỏ ý muốn.</t>
  </si>
  <si>
    <t xml:space="preserve">Dùng câu đơn ngắn với từ quen thuộc.</t>
  </si>
  <si>
    <t xml:space="preserve">Dùng câu đơn 2–3 từ diễn đạt ý muốn.</t>
  </si>
  <si>
    <t xml:space="preserve">Dùng câu đơn khá rõ ràng.</t>
  </si>
  <si>
    <t xml:space="preserve">NN2.3</t>
  </si>
  <si>
    <t xml:space="preserve">Đặt được câu hỏi đơn giản.</t>
  </si>
  <si>
    <t xml:space="preserve">Chỉ tay vào đồ vật mới (chưa hỏi).</t>
  </si>
  <si>
    <t xml:space="preserve">Chỉ + phát tiếng 'gì đây' theo cô.</t>
  </si>
  <si>
    <t xml:space="preserve">Hỏi 'gì đây' khi tò mò (đầu phát cảm ngôn ngữ).</t>
  </si>
  <si>
    <t xml:space="preserve">Đặt câu hỏi đơn giản (cái gì, ở đâu) ngắn.</t>
  </si>
  <si>
    <t xml:space="preserve">Đặt câu hỏi đơn giản về đồ vật, con vật.</t>
  </si>
  <si>
    <t xml:space="preserve">Hỏi nhiều câu hỏi đơn giản hơn.</t>
  </si>
  <si>
    <t xml:space="preserve">Đặt câu hỏi đơn giản khá rõ ràng.</t>
  </si>
  <si>
    <t xml:space="preserve">NN2.4</t>
  </si>
  <si>
    <t xml:space="preserve">Kết hợp lời nói với cử chỉ, điệu bộ, ánh mắt để thể hiện ý kiến hoặc cảm xúc.</t>
  </si>
  <si>
    <t xml:space="preserve">Kết hợp tiếng với ánh mắt, nét mặt.</t>
  </si>
  <si>
    <t xml:space="preserve">Kết hợp bập bẹ với chỉ tay biểu đạt.</t>
  </si>
  <si>
    <t xml:space="preserve">Kết hợp tiếng + cử chỉ + nét mặt rõ hơn.</t>
  </si>
  <si>
    <t xml:space="preserve">Dùng lời + điệu bộ thể hiện ý, cảm xúc.</t>
  </si>
  <si>
    <t xml:space="preserve">Kết hợp lời nói với cử chỉ, điệu bộ.</t>
  </si>
  <si>
    <t xml:space="preserve">Dùng lời + điệu bộ diễn đạt phong phú hơn.</t>
  </si>
  <si>
    <t xml:space="preserve">Kết hợp lời nói với cử chỉ khá tự nhiên.</t>
  </si>
  <si>
    <t xml:space="preserve">NN2.5</t>
  </si>
  <si>
    <t xml:space="preserve">Sử dụng được các từ chỉ sự lễ phép đơn giản như chào, cảm ơn, xin lỗi, tạm biệt phù hợp với tình huống giao tiếp và văn hoá.</t>
  </si>
  <si>
    <t xml:space="preserve">Bắt chước 'ạ', tạm biệt theo cô.</t>
  </si>
  <si>
    <t xml:space="preserve">Nói 'ạ', chào, tạm biệt trong tình huống quen.</t>
  </si>
  <si>
    <t xml:space="preserve">Dùng từ chào, tạm biệt với nhắc.</t>
  </si>
  <si>
    <t xml:space="preserve">Dùng từ lễ phép (chào, cảm ơn, tạm biệt).</t>
  </si>
  <si>
    <t xml:space="preserve">Dùng từ lễ phép chủ động hơn.</t>
  </si>
  <si>
    <t xml:space="preserve">Dùng từ lễ phép khá phù hợp tình huống.</t>
  </si>
  <si>
    <t xml:space="preserve">NN3.1</t>
  </si>
  <si>
    <t xml:space="preserve">NN3. Thể hiện ngôn ngữ sáng tạo</t>
  </si>
  <si>
    <t xml:space="preserve">Diễn đạt được bằng lời nói các hành động của nhân vật trong tranh truyện theo cách của trẻ.</t>
  </si>
  <si>
    <t xml:space="preserve">Chỉ vào tranh quen thuộc khi cô kể.</t>
  </si>
  <si>
    <t xml:space="preserve">Phát tiếng mô phỏng nhân vật khi cô kể.</t>
  </si>
  <si>
    <t xml:space="preserve">Chỉ + mô phỏng cử chỉ nhân vật quen thuộc.</t>
  </si>
  <si>
    <t xml:space="preserve">Mô phỏng vài hành động nhân vật theo cách của trẻ.</t>
  </si>
  <si>
    <t xml:space="preserve">Diễn đạt (theo cách của trẻ) hành động nhân vật.</t>
  </si>
  <si>
    <t xml:space="preserve">Kể lại (đơn giản) hành động nhân vật theo cách của trẻ.</t>
  </si>
  <si>
    <t xml:space="preserve">Diễn đạt hành động nhân vật rõ hơn.</t>
  </si>
  <si>
    <t xml:space="preserve">NN3.2</t>
  </si>
  <si>
    <t xml:space="preserve">Kể chuyện, đọc thơ, hát… có nhịp điệu, diễn cảm theo cách của trẻ.</t>
  </si>
  <si>
    <t xml:space="preserve">Hóng nghe thơ/bài hát ngắn cô đọc.</t>
  </si>
  <si>
    <t xml:space="preserve">Nhún nhảy, bập bẹ theo nhịp.</t>
  </si>
  <si>
    <t xml:space="preserve">Đọc/hát theo vài tiếng cuối câu.</t>
  </si>
  <si>
    <t xml:space="preserve">Đọc thơ, hát theo cô vài câu ngắn.</t>
  </si>
  <si>
    <t xml:space="preserve">Đọc thơ, hát theo bài ngắn (theo cách của trẻ).</t>
  </si>
  <si>
    <t xml:space="preserve">Đọc thơ, hát có nhịp điệu hơn.</t>
  </si>
  <si>
    <t xml:space="preserve">Đọc thơ, hát, kể có nhịp điệu khá rõ.</t>
  </si>
  <si>
    <t xml:space="preserve">NN4.1</t>
  </si>
  <si>
    <t xml:space="preserve">NN4. Hứng thú với sách và ấn phẩm</t>
  </si>
  <si>
    <t xml:space="preserve">Chủ động cầm, mở, lật sách, ấn phẩm trong môi trường chơi – học.</t>
  </si>
  <si>
    <t xml:space="preserve">Cầm, vỗ sách vải/sách dày.</t>
  </si>
  <si>
    <t xml:space="preserve">Lật (chưa đúng chiều) sách dày.</t>
  </si>
  <si>
    <t xml:space="preserve">Lật trang sách; nhìn tranh cùng cô.</t>
  </si>
  <si>
    <t xml:space="preserve">Lật đúng chiều hơn; chỉ tranh.</t>
  </si>
  <si>
    <t xml:space="preserve">Chủ động cầm, mở, lật sách.</t>
  </si>
  <si>
    <t xml:space="preserve">Lật sách đúng chiều; chọn sách thích.</t>
  </si>
  <si>
    <t xml:space="preserve">Cầm, mở, lật sách khá thành thạo.</t>
  </si>
  <si>
    <t xml:space="preserve">NN4.2</t>
  </si>
  <si>
    <t xml:space="preserve">Vui thích khi được nghe đọc sách.</t>
  </si>
  <si>
    <t xml:space="preserve">Hóng, cười khi cô đọc/kể.</t>
  </si>
  <si>
    <t xml:space="preserve">Chỉ tranh khi cô đọc.</t>
  </si>
  <si>
    <t xml:space="preserve">Thích ngồi vào lòng cô xem sách.</t>
  </si>
  <si>
    <t xml:space="preserve">Hào hứng khi được nghe đọc sách.</t>
  </si>
  <si>
    <t xml:space="preserve">Chủ động đề nghị cô đọc sách (ra hiệu).</t>
  </si>
  <si>
    <t xml:space="preserve">Tập trung nghe đọc sách lâu hơn.</t>
  </si>
  <si>
    <t xml:space="preserve">NN5.1</t>
  </si>
  <si>
    <t xml:space="preserve">NN5. Thể hiện kỹ năng ban đầu về đọc</t>
  </si>
  <si>
    <t xml:space="preserve">Chỉ được phần hình ảnh và chữ viết trong sách tranh.</t>
  </si>
  <si>
    <t xml:space="preserve">Nhìn vào hình ảnh trong sách.</t>
  </si>
  <si>
    <t xml:space="preserve">Chỉ hình ảnh quen thuộc khi cô hỏi.</t>
  </si>
  <si>
    <t xml:space="preserve">Chỉ đúng vài hình ảnh theo yêu cầu.</t>
  </si>
  <si>
    <t xml:space="preserve">Chỉ hình ảnh quen thuộc khá đúng.</t>
  </si>
  <si>
    <t xml:space="preserve">Chỉ phần hình ảnh trong sách tranh.</t>
  </si>
  <si>
    <t xml:space="preserve">Chỉ hình ảnh, tìm hình giống.</t>
  </si>
  <si>
    <t xml:space="preserve">Chỉ hình ảnh và bước đầu chú ý chữ.</t>
  </si>
  <si>
    <t xml:space="preserve">NN6.1</t>
  </si>
  <si>
    <t xml:space="preserve">NN6. Hứng thú với vẽ, viết</t>
  </si>
  <si>
    <t xml:space="preserve">Chủ động cầm và sử dụng bút hoặc sáp màu để tạo nét vẽ trên giấy hoặc bảng.</t>
  </si>
  <si>
    <t xml:space="preserve">Cầm sáp to cả bàn tay.</t>
  </si>
  <si>
    <t xml:space="preserve">Chấm, di màu tạo vết tự do.</t>
  </si>
  <si>
    <t xml:space="preserve">Di màu cả bàn tay khi cô làm mẫu.</t>
  </si>
  <si>
    <t xml:space="preserve">Tạo nét vẽ tự do trên giấy/bảng.</t>
  </si>
  <si>
    <t xml:space="preserve">Chủ động cầm sáp tạo nét vẽ.</t>
  </si>
  <si>
    <t xml:space="preserve">Tạo nét vẽ có chủ đích hơn.</t>
  </si>
  <si>
    <t xml:space="preserve">Dùng bút/sáp tạo nét khá tự nhiên; chỉ hình trong sách.</t>
  </si>
  <si>
    <t xml:space="preserve">NN7.1</t>
  </si>
  <si>
    <t xml:space="preserve">NN7. Thể hiện kỹ năng ban đầu về viết</t>
  </si>
  <si>
    <t xml:space="preserve">Tạo được nét vẽ nguệch ngoạc.</t>
  </si>
  <si>
    <t xml:space="preserve">Di tay tạo vết trên giấy.</t>
  </si>
  <si>
    <t xml:space="preserve">Chấm, gạch tạo vệt màu.</t>
  </si>
  <si>
    <t xml:space="preserve">Tạo vệt nguệch ngoạc tự do.</t>
  </si>
  <si>
    <t xml:space="preserve">Tạo nhiều vệt nguệch ngoạc hơn.</t>
  </si>
  <si>
    <t xml:space="preserve">Tạo vệt nguệch ngoạc có hướng hơn.</t>
  </si>
  <si>
    <t xml:space="preserve">Tạo nét nguệch ngoạc khá phong phú.</t>
  </si>
  <si>
    <t xml:space="preserve">NT1.1</t>
  </si>
  <si>
    <t xml:space="preserve">NT1. Thể hiện sự tò mò, thích tìm hiểu khám phá thế giới xung quanh</t>
  </si>
  <si>
    <t xml:space="preserve">Thích thú với những điều mới: chăm chú nhìn, nghe, hỏi về con người, sự vật, hiện tượng.</t>
  </si>
  <si>
    <t xml:space="preserve">Chăm chú nhìn, với tay tới đồ vật/âm thanh mới.</t>
  </si>
  <si>
    <t xml:space="preserve">Tỏ ngạc nhiên, thích thú với điều mới.</t>
  </si>
  <si>
    <t xml:space="preserve">Lắng nghe, quan sát điều mới lâu hơn.</t>
  </si>
  <si>
    <t xml:space="preserve">Chú ý + ra hiệu/hỏi về điều mới.</t>
  </si>
  <si>
    <t xml:space="preserve">Thích thú, chăm chú nhìn, nghe về điều mới.</t>
  </si>
  <si>
    <t xml:space="preserve">Hỏi (gì đây) về con người, sự vật mới.</t>
  </si>
  <si>
    <t xml:space="preserve">Tò mò, hỏi nhiều về điều mới hơn.</t>
  </si>
  <si>
    <t xml:space="preserve">NT1.2</t>
  </si>
  <si>
    <t xml:space="preserve">Sử dụng các giác quan để tìm hiểu, khám phá các đối tượng gần gũi xung quanh.</t>
  </si>
  <si>
    <t xml:space="preserve">Nhìn, sờ, cầm đồ vật quen thuộc.</t>
  </si>
  <si>
    <t xml:space="preserve">Lắc, đưa lên miệng khám phá đồ vật.</t>
  </si>
  <si>
    <t xml:space="preserve">Dùng vài giác quan khám phá đồ vật.</t>
  </si>
  <si>
    <t xml:space="preserve">Sờ, nghe, nhìn để tìm hiểu đặc điểm.</t>
  </si>
  <si>
    <t xml:space="preserve">Dùng các giác quan tìm hiểu đối tượng gần gũi.</t>
  </si>
  <si>
    <t xml:space="preserve">Khám phá đối tượng bằng nhiều giác quan hơn.</t>
  </si>
  <si>
    <t xml:space="preserve">Phối hợp giác quan khám phá khá tốt.</t>
  </si>
  <si>
    <t xml:space="preserve">NT2.1</t>
  </si>
  <si>
    <t xml:space="preserve">NT2. Thể hiện sự chủ động tìm tòi, khám phá thế giới xung quanh</t>
  </si>
  <si>
    <t xml:space="preserve">Thực hiện hoặc lặp lại các hành động tìm hiểu, khám phá con người, sự vật, hiện tượng gần gũi theo gợi ý hoặc bắt chước người khác.</t>
  </si>
  <si>
    <t xml:space="preserve">Nhìn cô thao tác đồ vật.</t>
  </si>
  <si>
    <t xml:space="preserve">Bắt chước 1 hành động cô làm mẫu.</t>
  </si>
  <si>
    <t xml:space="preserve">Lặp lại hành động (lắc, gõ, mở) theo cô.</t>
  </si>
  <si>
    <t xml:space="preserve">Bắt chước, lặp lại nhiều lần hành động.</t>
  </si>
  <si>
    <t xml:space="preserve">Lặp lại hành động tìm hiểu theo gợi ý/bắt chước.</t>
  </si>
  <si>
    <t xml:space="preserve">Bắt chước hành động khám phá phức tạp hơn.</t>
  </si>
  <si>
    <t xml:space="preserve">Lặp lại, điều chỉnh hành động khám phá.</t>
  </si>
  <si>
    <t xml:space="preserve">NT2.2</t>
  </si>
  <si>
    <t xml:space="preserve">Thử các cách khác nhau để khám phá thế giới đồ vật.</t>
  </si>
  <si>
    <t xml:space="preserve">Tác động đồ vật 1 cách (cầm, lắc).</t>
  </si>
  <si>
    <t xml:space="preserve">Thử 2 cách (lắc, gõ) với đồ vật.</t>
  </si>
  <si>
    <t xml:space="preserve">Thử nhiều cách (cầm, lắc, gõ, thả).</t>
  </si>
  <si>
    <t xml:space="preserve">Thử cách mới khi cách cũ không được.</t>
  </si>
  <si>
    <t xml:space="preserve">Thử các cách khác nhau khám phá đồ vật.</t>
  </si>
  <si>
    <t xml:space="preserve">Thử nghiệm có chủ đích hơn với đồ vật.</t>
  </si>
  <si>
    <t xml:space="preserve">Thử nhiều cách và quan sát kết quả.</t>
  </si>
  <si>
    <t xml:space="preserve">NT3.1</t>
  </si>
  <si>
    <t xml:space="preserve">NT3. Hiểu biết ban đầu về thế giới xung quanh</t>
  </si>
  <si>
    <t xml:space="preserve">Gọi tên và mô tả đặc điểm nổi bật của con người, sự vật, hiện tượng gần gũi.</t>
  </si>
  <si>
    <t xml:space="preserve">Nhận ra, chỉ đồ vật/con vật quen thuộc.</t>
  </si>
  <si>
    <t xml:space="preserve">Bập bẹ gọi tên theo cách của trẻ.</t>
  </si>
  <si>
    <t xml:space="preserve">Chỉ + gọi tên đối tượng quen thuộc.</t>
  </si>
  <si>
    <t xml:space="preserve">Gọi tên + nói 1 đặc điểm nổi bật.</t>
  </si>
  <si>
    <t xml:space="preserve">Gọi tên, mô tả đặc điểm nổi bật.</t>
  </si>
  <si>
    <t xml:space="preserve">Mô tả vài đặc điểm của đối tượng.</t>
  </si>
  <si>
    <t xml:space="preserve">Gọi tên, mô tả đặc điểm khá rõ.</t>
  </si>
  <si>
    <t xml:space="preserve">NT3.2</t>
  </si>
  <si>
    <t xml:space="preserve">Nhận biết số lượng và kích thước của một số đồ vật.</t>
  </si>
  <si>
    <t xml:space="preserve">Cầm, so sánh đồ vật to–nhỏ.</t>
  </si>
  <si>
    <t xml:space="preserve">Làm quen 'một' và 'nhiều' qua thao tác.</t>
  </si>
  <si>
    <t xml:space="preserve">Chọn vật to/nhỏ theo cô.</t>
  </si>
  <si>
    <t xml:space="preserve">Phân biệt to–nhỏ, một–nhiều rõ hơn.</t>
  </si>
  <si>
    <t xml:space="preserve">Nhận biết số lượng (một–nhiều), kích thước.</t>
  </si>
  <si>
    <t xml:space="preserve">Nhận biết to–nhỏ, một–nhiều khá chắc.</t>
  </si>
  <si>
    <t xml:space="preserve">Nhận biết số lượng, kích thước nhiều đồ vật hơn.</t>
  </si>
  <si>
    <t xml:space="preserve">NT3.3</t>
  </si>
  <si>
    <t xml:space="preserve">Nhận biết và gọi tên một số hình phẳng cơ bản.</t>
  </si>
  <si>
    <t xml:space="preserve">Cầm vật dạng tròn làm quen.</t>
  </si>
  <si>
    <t xml:space="preserve">Thả hình tròn vào khuôn.</t>
  </si>
  <si>
    <t xml:space="preserve">Nhặt vật tròn theo cô.</t>
  </si>
  <si>
    <t xml:space="preserve">Làm quen hình tròn qua nhiều thao tác.</t>
  </si>
  <si>
    <t xml:space="preserve">Nhận biết hình tròn (chưa cần gọi tên).</t>
  </si>
  <si>
    <t xml:space="preserve">Chọn hình tròn theo yêu cầu.</t>
  </si>
  <si>
    <t xml:space="preserve">Nhận biết, bước đầu gọi tên hình tròn.</t>
  </si>
  <si>
    <t xml:space="preserve">NT3.4</t>
  </si>
  <si>
    <t xml:space="preserve">Nói được công dụng của một số đồ vật quen thuộc.</t>
  </si>
  <si>
    <t xml:space="preserve">Thực hiện hành động đúng công dụng (đưa cốc lên miệng).</t>
  </si>
  <si>
    <t xml:space="preserve">Cầm thìa xúc; dùng đồ vật quen thuộc đúng cách.</t>
  </si>
  <si>
    <t xml:space="preserve">Dùng vài đồ vật đúng công dụng.</t>
  </si>
  <si>
    <t xml:space="preserve">Biết công dụng đồ vật qua hành động.</t>
  </si>
  <si>
    <t xml:space="preserve">Nói (theo cách trẻ) công dụng đồ vật quen thuộc.</t>
  </si>
  <si>
    <t xml:space="preserve">Nói công dụng vài đồ vật.</t>
  </si>
  <si>
    <t xml:space="preserve">Nói công dụng nhiều đồ vật quen thuộc hơn.</t>
  </si>
  <si>
    <t xml:space="preserve">NT3.5</t>
  </si>
  <si>
    <t xml:space="preserve">Nhận biết sự thay đổi bên ngoài của con người, sự vật, hiện tượng gần gũi.</t>
  </si>
  <si>
    <t xml:space="preserve">Chú ý thay đổi rõ rệt (đèn bật–tắt).</t>
  </si>
  <si>
    <t xml:space="preserve">Phản ứng với mở–đóng, có–không.</t>
  </si>
  <si>
    <t xml:space="preserve">Nhận ra thay đổi khi cô tạo tình huống.</t>
  </si>
  <si>
    <t xml:space="preserve">Chú ý thay đổi của sự vật quen thuộc.</t>
  </si>
  <si>
    <t xml:space="preserve">Nhận biết sự thay đổi bên ngoài của đối tượng.</t>
  </si>
  <si>
    <t xml:space="preserve">Nhận ra nhiều thay đổi hơn (hoa nở, trời mưa).</t>
  </si>
  <si>
    <t xml:space="preserve">Nhận biết, nói (theo cách trẻ) về thay đổi.</t>
  </si>
  <si>
    <t xml:space="preserve">NT4.1</t>
  </si>
  <si>
    <t xml:space="preserve">NT4. Kỹ năng nhận thức về thế giới xung quanh</t>
  </si>
  <si>
    <t xml:space="preserve">Phân biệt được hai đối tượng.</t>
  </si>
  <si>
    <t xml:space="preserve">Chọn 1 trong 2 đồ vật khi cô đưa.</t>
  </si>
  <si>
    <t xml:space="preserve">Chọn đúng vật khác nhau rõ nét theo cô.</t>
  </si>
  <si>
    <t xml:space="preserve">Phân biệt 2 đồ vật khác nhau rõ nét.</t>
  </si>
  <si>
    <t xml:space="preserve">Chọn đúng 1 trong 2 theo yêu cầu.</t>
  </si>
  <si>
    <t xml:space="preserve">Phân biệt hai đối tượng (to–nhỏ, khác loại).</t>
  </si>
  <si>
    <t xml:space="preserve">Phân biệt 2 đối tượng khác nhau hơn.</t>
  </si>
  <si>
    <t xml:space="preserve">Phân biệt hai đối tượng khá chắc chắn.</t>
  </si>
  <si>
    <t xml:space="preserve">NT4.2</t>
  </si>
  <si>
    <t xml:space="preserve">Phân loại sự vật dựa trên một đặc điểm chung.</t>
  </si>
  <si>
    <t xml:space="preserve">Bắt chước cô bỏ vật vào rổ.</t>
  </si>
  <si>
    <t xml:space="preserve">Bỏ vật cùng loại vào rổ (bóng với bóng).</t>
  </si>
  <si>
    <t xml:space="preserve">Phân loại đơn giản theo cô.</t>
  </si>
  <si>
    <t xml:space="preserve">Chọn vật cùng nhóm theo cô.</t>
  </si>
  <si>
    <t xml:space="preserve">Phân loại theo một đặc điểm chung.</t>
  </si>
  <si>
    <t xml:space="preserve">Phân loại theo đặc điểm rõ hơn.</t>
  </si>
  <si>
    <t xml:space="preserve">Phân loại nhiều nhóm hơn.</t>
  </si>
  <si>
    <t xml:space="preserve">NT4.3</t>
  </si>
  <si>
    <t xml:space="preserve">Xác định vị trí của vật so với bản thân.</t>
  </si>
  <si>
    <t xml:space="preserve">Bỏ vào – lấy ra khỏi rổ theo cô.</t>
  </si>
  <si>
    <t xml:space="preserve">Làm quen 'trong–ngoài' qua thao tác.</t>
  </si>
  <si>
    <t xml:space="preserve">Đặt vật 'lên' theo yêu cầu.</t>
  </si>
  <si>
    <t xml:space="preserve">Làm quen 'trên–dưới', 'trong–ngoài'.</t>
  </si>
  <si>
    <t xml:space="preserve">Xác định vị trí vật so với bản thân.</t>
  </si>
  <si>
    <t xml:space="preserve">Xác định vài vị trí (trên–dưới, trong–ngoài).</t>
  </si>
  <si>
    <t xml:space="preserve">Xác định vị trí vật khá chắc chắn.</t>
  </si>
  <si>
    <t xml:space="preserve">NT5.1</t>
  </si>
  <si>
    <t xml:space="preserve">NT5. Giải quyết một số vấn đề đơn giản trong sinh hoạt hằng ngày</t>
  </si>
  <si>
    <t xml:space="preserve">Thể hiện hành động đơn giản phù hợp với tình huống trong sinh hoạt hằng ngày.</t>
  </si>
  <si>
    <t xml:space="preserve">Thực hiện hành động quen (đói đòi ăn) có hỗ trợ.</t>
  </si>
  <si>
    <t xml:space="preserve">Lấy cốc khi khát theo hướng dẫn.</t>
  </si>
  <si>
    <t xml:space="preserve">Hành động đúng tình huống quen thuộc.</t>
  </si>
  <si>
    <t xml:space="preserve">Tự xử lý vài tình huống sinh hoạt đơn giản.</t>
  </si>
  <si>
    <t xml:space="preserve">Hành động phù hợp tình huống sinh hoạt.</t>
  </si>
  <si>
    <t xml:space="preserve">Xử lý tình huống sinh hoạt chủ động hơn.</t>
  </si>
  <si>
    <t xml:space="preserve">Hành động phù hợp nhiều tình huống hơn.</t>
  </si>
  <si>
    <t xml:space="preserve">NT5.2</t>
  </si>
  <si>
    <t xml:space="preserve">Thử và điều chỉnh hành động để giải quyết vấn đề đơn giản trong sinh hoạt hằng ngày.</t>
  </si>
  <si>
    <t xml:space="preserve">Thử lấy đồ vật ở gần.</t>
  </si>
  <si>
    <t xml:space="preserve">Thử mở hộp, thả hình.</t>
  </si>
  <si>
    <t xml:space="preserve">Thử nhiều lần để đạt mục tiêu.</t>
  </si>
  <si>
    <t xml:space="preserve">Điều chỉnh cách làm khi chưa được.</t>
  </si>
  <si>
    <t xml:space="preserve">Thử và điều chỉnh hành động giải quyết vấn đề.</t>
  </si>
  <si>
    <t xml:space="preserve">Giải quyết vấn đề đơn giản chủ động hơn.</t>
  </si>
  <si>
    <t xml:space="preserve">Thử–điều chỉnh khá linh hoạt.</t>
  </si>
  <si>
    <t xml:space="preserve">NT6.1</t>
  </si>
  <si>
    <t xml:space="preserve">NT6. Thực hiện hành động phù hợp với con người, sự vật và môi trường gần gũi</t>
  </si>
  <si>
    <t xml:space="preserve">Thực hiện các hành động đơn giản dựa trên hiểu biết về con người, đồ vật và môi trường xung quanh trong các tình huống quen thuộc.</t>
  </si>
  <si>
    <t xml:space="preserve">Dùng đồ vật quen thuộc đúng cách có hỗ trợ.</t>
  </si>
  <si>
    <t xml:space="preserve">Cầm cốc, thìa đúng cách.</t>
  </si>
  <si>
    <t xml:space="preserve">Lăn bóng, dùng đồ vật quen thuộc.</t>
  </si>
  <si>
    <t xml:space="preserve">Hành động dựa trên hiểu biết về đồ vật.</t>
  </si>
  <si>
    <t xml:space="preserve">Thực hiện hành động đơn giản dựa trên hiểu biết.</t>
  </si>
  <si>
    <t xml:space="preserve">Hành động phù hợp với đồ vật, môi trường hơn.</t>
  </si>
  <si>
    <t xml:space="preserve">Hành động dựa trên hiểu biết khá linh hoạt.</t>
  </si>
  <si>
    <t xml:space="preserve">NT6.2</t>
  </si>
  <si>
    <t xml:space="preserve">Thực hiện hành động an toàn, bảo vệ bản thân, sự vật và môi trường gần gũi xung quanh.</t>
  </si>
  <si>
    <t xml:space="preserve">Tránh vật/nơi nguy hiểm khi cô nhắc.</t>
  </si>
  <si>
    <t xml:space="preserve">Không cho vật lạ vào miệng khi nhắc.</t>
  </si>
  <si>
    <t xml:space="preserve">Không ném đồ khi được nhắc.</t>
  </si>
  <si>
    <t xml:space="preserve">Hành động an toàn hơn trong sinh hoạt.</t>
  </si>
  <si>
    <t xml:space="preserve">Thực hiện hành động an toàn, bảo vệ bản thân.</t>
  </si>
  <si>
    <t xml:space="preserve">Bảo vệ bản thân, đồ vật, môi trường hơn.</t>
  </si>
  <si>
    <t xml:space="preserve">Hành động an toàn khá tự giác.</t>
  </si>
  <si>
    <t xml:space="preserve">NgT1.1</t>
  </si>
  <si>
    <t xml:space="preserve">NgT1. Cảm thụ vẻ đẹp trong cuộc sống và nghệ thuật</t>
  </si>
  <si>
    <t xml:space="preserve">Thể hiện cảm xúc (thích thú, vui vẻ, ngạc nhiên, tán thưởng, hát theo, vỗ tay, nhún nhảy, đung đưa, lắc lư...) khi tiếp xúc với vẻ đẹp trong thiên nhiên, cuộc sống và nghệ thuật.</t>
  </si>
  <si>
    <t xml:space="preserve">Tỏ thích thú (cười, chú ý) trước màu sắc, âm thanh đẹp.</t>
  </si>
  <si>
    <t xml:space="preserve">Với tay tới đồ vật, tranh đẹp bắt mắt.</t>
  </si>
  <si>
    <t xml:space="preserve">Chú ý lâu hơn trước vẻ đẹp; vỗ tay.</t>
  </si>
  <si>
    <t xml:space="preserve">Biểu lộ thích thú rõ (cười, reo) trước vẻ đẹp.</t>
  </si>
  <si>
    <t xml:space="preserve">Thể hiện cảm xúc (thích, vui) trước vẻ đẹp.</t>
  </si>
  <si>
    <t xml:space="preserve">Hát theo, vỗ tay, nhún nhảy khi thấy đẹp.</t>
  </si>
  <si>
    <t xml:space="preserve">Thể hiện nhiều cảm xúc trước vẻ đẹp hơn.</t>
  </si>
  <si>
    <t xml:space="preserve">NgT2.1</t>
  </si>
  <si>
    <t xml:space="preserve">NgT2. Hiểu biết, kỹ năng trong hoạt động âm nhạc và vận động theo nhạc</t>
  </si>
  <si>
    <t xml:space="preserve">Lắng nghe và thể hiện được cảm nhận của bản thân với bài hát, bản nhạc.</t>
  </si>
  <si>
    <t xml:space="preserve">Hóng nghe nhạc/bài hát ngắn.</t>
  </si>
  <si>
    <t xml:space="preserve">Dừng lại lắng nghe khi có nhạc.</t>
  </si>
  <si>
    <t xml:space="preserve">Đung đưa khi nghe nhạc.</t>
  </si>
  <si>
    <t xml:space="preserve">Thể hiện cảm nhận (vỗ tay, cười) với bài hát.</t>
  </si>
  <si>
    <t xml:space="preserve">Lắng nghe, thể hiện cảm nhận với bài hát.</t>
  </si>
  <si>
    <t xml:space="preserve">Phản ứng cảm xúc rõ hơn với bài hát.</t>
  </si>
  <si>
    <t xml:space="preserve">Lắng nghe, cảm nhận bài hát khá rõ.</t>
  </si>
  <si>
    <t xml:space="preserve">NgT2.2</t>
  </si>
  <si>
    <t xml:space="preserve">Hát theo giai điệu/bài hát ngắn, phù hợp lứa tuổi.</t>
  </si>
  <si>
    <t xml:space="preserve">Bập bẹ, ê a khi nghe hát.</t>
  </si>
  <si>
    <t xml:space="preserve">Phát vài tiếng theo giai điệu cùng cô.</t>
  </si>
  <si>
    <t xml:space="preserve">Hát ê a theo bài hát ngắn quen thuộc.</t>
  </si>
  <si>
    <t xml:space="preserve">Hát theo vài tiếng cuối câu.</t>
  </si>
  <si>
    <t xml:space="preserve">Hát theo giai điệu/bài hát ngắn.</t>
  </si>
  <si>
    <t xml:space="preserve">Hát theo bài hát ngắn rõ hơn.</t>
  </si>
  <si>
    <t xml:space="preserve">Hát theo bài hát ngắn khá rõ lời.</t>
  </si>
  <si>
    <t xml:space="preserve">NgT2.3</t>
  </si>
  <si>
    <t xml:space="preserve">Vận động đơn giản, lặp đi lặp lại theo bài hát, bản nhạc (vỗ tay, giậm chân, vẫy tay, nhún nhảy...).</t>
  </si>
  <si>
    <t xml:space="preserve">Vỗ tay theo nhạc khi cô làm mẫu.</t>
  </si>
  <si>
    <t xml:space="preserve">Nhún, lắc lư theo nhạc.</t>
  </si>
  <si>
    <t xml:space="preserve">Vẫy tay, nhún theo nhạc cùng cô.</t>
  </si>
  <si>
    <t xml:space="preserve">Vận động vài động tác theo nhạc.</t>
  </si>
  <si>
    <t xml:space="preserve">Vận động đơn giản theo nhạc.</t>
  </si>
  <si>
    <t xml:space="preserve">Vận động lặp lại theo bài hát.</t>
  </si>
  <si>
    <t xml:space="preserve">Vận động theo nhạc khá nhịp nhàng.</t>
  </si>
  <si>
    <t xml:space="preserve">NgT2.4</t>
  </si>
  <si>
    <t xml:space="preserve">Tạo ra âm thanh bằng cách chơi với các đồ dùng, dụng cụ âm nhạc.</t>
  </si>
  <si>
    <t xml:space="preserve">Cầm, lắc xắc xô tạo âm thanh.</t>
  </si>
  <si>
    <t xml:space="preserve">Gõ trống nhỏ tạo âm thanh.</t>
  </si>
  <si>
    <t xml:space="preserve">Lắc, gõ nhạc cụ theo cô.</t>
  </si>
  <si>
    <t xml:space="preserve">Tạo âm thanh bằng vài dụng cụ.</t>
  </si>
  <si>
    <t xml:space="preserve">Tạo âm thanh bằng dụng cụ âm nhạc.</t>
  </si>
  <si>
    <t xml:space="preserve">Tạo âm thanh theo nhịp đơn giản.</t>
  </si>
  <si>
    <t xml:space="preserve">Chơi nhạc cụ tạo âm thanh khá nhịp nhàng.</t>
  </si>
  <si>
    <t xml:space="preserve">NgT2.5</t>
  </si>
  <si>
    <t xml:space="preserve">Thể hiện sự hứng thú khi tham gia biểu diễn âm nhạc với người lớn.</t>
  </si>
  <si>
    <t xml:space="preserve">Thích thú vỗ tay trong hoạt động âm nhạc.</t>
  </si>
  <si>
    <t xml:space="preserve">Làm theo cô trong hoạt động âm nhạc.</t>
  </si>
  <si>
    <t xml:space="preserve">Tham gia hát, vận động tập thể với cô.</t>
  </si>
  <si>
    <t xml:space="preserve">Hứng thú tham gia biểu diễn cùng cô.</t>
  </si>
  <si>
    <t xml:space="preserve">Hứng thú biểu diễn âm nhạc với người lớn.</t>
  </si>
  <si>
    <t xml:space="preserve">Mạnh dạn tham gia biểu diễn hơn.</t>
  </si>
  <si>
    <t xml:space="preserve">Hứng thú, tự tin biểu diễn cùng người lớn.</t>
  </si>
  <si>
    <t xml:space="preserve">NgT3.1</t>
  </si>
  <si>
    <t xml:space="preserve">NgT3. Hiểu biết, kỹ năng trong hoạt động tạo hình</t>
  </si>
  <si>
    <t xml:space="preserve">Làm quen và sử dụng một số phương tiện, nguyên vật liệu tạo hình đơn giản.</t>
  </si>
  <si>
    <t xml:space="preserve">Cầm, chạm giấy, đất nặn, sáp màu.</t>
  </si>
  <si>
    <t xml:space="preserve">Bóp, vò giấy, đất nặn mềm.</t>
  </si>
  <si>
    <t xml:space="preserve">Làm quen nhiều vật liệu tạo hình hơn.</t>
  </si>
  <si>
    <t xml:space="preserve">Dùng vài vật liệu tạo hình đơn giản.</t>
  </si>
  <si>
    <t xml:space="preserve">Làm quen, dùng nguyên vật liệu tạo hình.</t>
  </si>
  <si>
    <t xml:space="preserve">Sử dụng vài phương tiện tạo hình đơn giản.</t>
  </si>
  <si>
    <t xml:space="preserve">Dùng nguyên vật liệu tạo hình khá thành thạo.</t>
  </si>
  <si>
    <t xml:space="preserve">NgT3.2</t>
  </si>
  <si>
    <t xml:space="preserve">Thực hiện một số thao tác tạo hình cơ bản (di màu, vẽ nguệch ngoạc, vò, nặn, in, xé, dán, lắp ghép) để tạo ra sản phẩm đơn giản và thích thú với quá trình đó.</t>
  </si>
  <si>
    <t xml:space="preserve">Di màu cả bàn tay.</t>
  </si>
  <si>
    <t xml:space="preserve">Chấm màu tạo vết.</t>
  </si>
  <si>
    <t xml:space="preserve">Bóp, véo đất nặn theo cô.</t>
  </si>
  <si>
    <t xml:space="preserve">Di màu, in dấu tay tạo sản phẩm.</t>
  </si>
  <si>
    <t xml:space="preserve">Thao tác tạo hình cơ bản (di màu, nặn, xé).</t>
  </si>
  <si>
    <t xml:space="preserve">Vò, in, xé dán đơn giản.</t>
  </si>
  <si>
    <t xml:space="preserve">Thực hiện nhiều thao tác tạo hình hơn.</t>
  </si>
  <si>
    <t xml:space="preserve">NgT3.3</t>
  </si>
  <si>
    <t xml:space="preserve">Nói về sản phẩm tạo hình do trẻ tạo ra theo cảm nhận của bản thân.</t>
  </si>
  <si>
    <t xml:space="preserve">Nhìn vết màu mình vừa tạo.</t>
  </si>
  <si>
    <t xml:space="preserve">Chỉ, phát tiếng về sản phẩm của mình.</t>
  </si>
  <si>
    <t xml:space="preserve">Cười, chỉ sản phẩm mình tạo ra.</t>
  </si>
  <si>
    <t xml:space="preserve">Nói (theo cách trẻ) về sản phẩm của mình.</t>
  </si>
  <si>
    <t xml:space="preserve">Nói về sản phẩm tạo hình của bản thân.</t>
  </si>
  <si>
    <t xml:space="preserve">Nói vài điều về sản phẩm của mình.</t>
  </si>
  <si>
    <t xml:space="preserve">Nói về sản phẩm theo cảm nhận rõ hơn.</t>
  </si>
  <si>
    <t xml:space="preserve">NgT4.1</t>
  </si>
  <si>
    <t xml:space="preserve">NgT4. Thể hiện hình ảnh, nhân vật qua đóng vai, trò chơi mô phỏng</t>
  </si>
  <si>
    <t xml:space="preserve">Thể hiện hình ảnh người thân (đóng vai).</t>
  </si>
  <si>
    <t xml:space="preserve">Bắt chước bế búp bê theo cô.</t>
  </si>
  <si>
    <t xml:space="preserve">Bắt chước ru, đút búp bê ăn.</t>
  </si>
  <si>
    <t xml:space="preserve">Chơi thao tác chăm sóc búp bê cùng cô.</t>
  </si>
  <si>
    <t xml:space="preserve">Thể hiện vài hành động chăm sóc (đóng vai).</t>
  </si>
  <si>
    <t xml:space="preserve">Thể hiện hình ảnh người thân qua đóng vai đơn giản.</t>
  </si>
  <si>
    <t xml:space="preserve">Đóng vai chăm sóc búp bê chủ động hơn.</t>
  </si>
  <si>
    <t xml:space="preserve">Thể hiện vai người thân khá rõ.</t>
  </si>
  <si>
    <t xml:space="preserve">NgT4.2</t>
  </si>
  <si>
    <t xml:space="preserve">Thể hiện lại lời nói/hành động nhân vật (kịch).</t>
  </si>
  <si>
    <t xml:space="preserve">Bắt chước 1 tiếng kêu con vật theo cô.</t>
  </si>
  <si>
    <t xml:space="preserve">Bắt chước 1 cử chỉ nhân vật quen thuộc.</t>
  </si>
  <si>
    <t xml:space="preserve">Mô phỏng tiếng kêu, cử chỉ nhân vật.</t>
  </si>
  <si>
    <t xml:space="preserve">Thể hiện vài cử chỉ/tiếng nhân vật theo cô.</t>
  </si>
  <si>
    <t xml:space="preserve">Thể hiện lại cử chỉ/tiếng nhân vật quen thuộc.</t>
  </si>
  <si>
    <t xml:space="preserve">Mô phỏng nhân vật trong tình huống chơi.</t>
  </si>
  <si>
    <t xml:space="preserve">Thể hiện cử chỉ, lời nói nhân vật rõ hơn.</t>
  </si>
  <si>
    <t xml:space="preserve">FRAMEWORK PHÁT TRIỂN 12–36 THÁNG (82 mã × 8 mốc)</t>
  </si>
  <si>
    <t xml:space="preserve">YCCĐ = đích · mốc 33–36 = đích · kèm biểu hiện, minh chứng, hoạt động, điều chỉnh</t>
  </si>
  <si>
    <t xml:space="preserve">Biểu hiện QS</t>
  </si>
  <si>
    <t xml:space="preserve">Minh chứng</t>
  </si>
  <si>
    <t xml:space="preserve">Điều chỉnh</t>
  </si>
  <si>
    <t xml:space="preserve">Gợi ý hỗ trợ trẻ
có nhu cầu đặc biệt/hòa nhập</t>
  </si>
  <si>
    <t xml:space="preserve">Biểu hiện quan sát đa bối cảnh
— NHÓM 12–24 THÁNG
(chăm sóc-nuôi dưỡng-chơi-giao tiếp-vận động-khám phá-sinh hoạt)</t>
  </si>
  <si>
    <t xml:space="preserve">Biểu hiện quan sát đa bối cảnh
— NHÓM 24–36 THÁNG
(chăm sóc-nuôi dưỡng-chơi-giao tiếp-vận động-khám phá-sinh hoạt)</t>
  </si>
  <si>
    <t xml:space="preserve">Trẻ cười, hướng về hoạt động, tự giơ tay/nhún theo; mức độ hào hứng và chủ động tăng dần qua các mốc.</t>
  </si>
  <si>
    <t xml:space="preserve">Ảnh/video trẻ tham gia thể dục sáng, vận động theo nhạc; ghi chép nhanh mức hứng thú (hào hứng/bình thường/né tránh).</t>
  </si>
  <si>
    <t xml:space="preserve">Thể dục sáng theo nhạc; trò chơi vận động ngắn; bắt chước dáng con vật; vận động theo bài hát vui.</t>
  </si>
  <si>
    <t xml:space="preserve">Trẻ nhút nhát: cho quan sát trước, cô làm cùng, khen sự cố gắng. Trẻ hiếu động: hướng vào vận động có mục tiêu.</t>
  </si>
  <si>
    <t xml:space="preserve">Trẻ khó khăn vận động: rút ngắn khoảng cách, dùng tay/dụng cụ hỗ trợ, cho thời gian gấp đôi, không ép tốc độ.</t>
  </si>
  <si>
    <t xml:space="preserve">Trong giờ vận động (thể dục sáng, vận động theo nhạc), trẻ hóng, cười, giơ tay/nhún theo cô; cần cô làm mẫu và khích lệ trực tiếp, dần chủ động hơn khi được động viên.</t>
  </si>
  <si>
    <t xml:space="preserve">Trẻ chủ động, vui vẻ tham gia trọn vẹn hoạt động thể chất cùng nhóm bạn, không cần nhắc nhiều; thể hiện rõ thích thú qua nét mặt, tiếng reo.</t>
  </si>
  <si>
    <t xml:space="preserve">Trẻ tiếp tục cố gắng đến khi xong nhiệm vụ thay vì bỏ giữa chừng; nhu cầu trợ giúp giảm dần.</t>
  </si>
  <si>
    <t xml:space="preserve">Video trẻ thực hiện trọn một vận động (bò tới đích, mang vật); ghi chú mức trợ giúp (cầm tay/làm mẫu/tự làm).</t>
  </si>
  <si>
    <t xml:space="preserve">Bò tới lấy đồ chơi; mang vật đến đích; trò chơi 'ai làm xong'; nhiệm vụ vận động ngắn có kết thúc rõ.</t>
  </si>
  <si>
    <t xml:space="preserve">Khen sự cố gắng, không chỉ kết quả; điều chỉnh độ khó theo từng trẻ; cho lặp lại nhiều lần.</t>
  </si>
  <si>
    <t xml:space="preserve">Trong giờ chơi vận động, trẻ với/bò tới lấy đồ chơi khi được khích lệ, cố thực hiện hết một vận động ngắn (bò tới đích) khi cô cầm tay hoặc làm mẫu cùng.</t>
  </si>
  <si>
    <t xml:space="preserve">Trẻ tự cố gắng hoàn thành nhiệm vụ vận động vừa sức (mang vật đến đích, trò chơi 'ai làm xong'), chỉ nhờ cô khi thật cần, kiên trì hơn trước.</t>
  </si>
  <si>
    <t xml:space="preserve">Trẻ ăn/ngủ/vệ sinh ổn định ngay cả khi đổi phòng, đổi cô; thời gian thích nghi rút ngắn dần.</t>
  </si>
  <si>
    <t xml:space="preserve">Sổ theo dõi ăn–ngủ; ghi chép phản ứng khi chuyển phòng/đổi cô; trao đổi với phụ huynh.</t>
  </si>
  <si>
    <t xml:space="preserve">Làm quen lịch sinh hoạt; chơi chăm sóc búp bê; tập cất đồ đúng nơi; chuyển phòng có cô đi cùng.</t>
  </si>
  <si>
    <t xml:space="preserve">Trẻ khó thích nghi: giữ một cô ổn định, vật quen thuộc; phối hợp phụ huynh thống nhất nề nếp.</t>
  </si>
  <si>
    <t xml:space="preserve">Trong giờ ăn/ngủ/vệ sinh khi đổi lớp hoặc đổi cô, trẻ cần thời gian và sự trấn an nhiều hơn để duy trì nếp ăn/ngủ; có thể quấy khóc nhẹ ban đầu nhưng ổn định khi được cô gần gũi, dỗ dành.</t>
  </si>
  <si>
    <t xml:space="preserve">Trẻ duy trì được nền nếp ăn/ngủ/vệ sinh quen thuộc dù đổi lớp/phòng/cô, ít quấy khóc, thích nghi nhanh hơn sau 1–2 ngày.</t>
  </si>
  <si>
    <t xml:space="preserve">Trẻ vẫn tham gia vận động khi bối cảnh thay đổi (chỗ mới, bạn mới); mức mạnh dạn tăng dần.</t>
  </si>
  <si>
    <t xml:space="preserve">Video vận động ở các không gian khác nhau; ghi chú khả năng thích ứng khi đổi nhóm bạn.</t>
  </si>
  <si>
    <t xml:space="preserve">Tập ở nhiều vị trí; luân phiên góc vận động; trò chơi vận động nhóm nhỏ thay đổi bạn.</t>
  </si>
  <si>
    <t xml:space="preserve">Trẻ ngại thay đổi: báo trước, cho thời gian quan sát; ghi nhận tiến bộ nhỏ.</t>
  </si>
  <si>
    <t xml:space="preserve">Khi đổi sân chơi hoặc đổi trò chơi vận động, trẻ có thể ngập ngừng, quan sát trước khi tham gia; cần cô làm mẫu lại và khích lệ.</t>
  </si>
  <si>
    <t xml:space="preserve">Trẻ nhanh chóng tham gia hoạt động thể chất dù đổi địa điểm (trong nhà/ngoài trời) hoặc đổi yêu cầu vận động, thể hiện sự linh hoạt.</t>
  </si>
  <si>
    <t xml:space="preserve">Đi → đi vững → chạy có kiểm soát; bò qua vật; lên bậc có vịn; bật tại chỗ → bật tiến. Tiến triển rõ qua từng mốc.</t>
  </si>
  <si>
    <t xml:space="preserve">Video đi/chạy/bò/bật; ghi mốc trẻ đi vững, bò qua vật, lên cầu thang, bật tiến.</t>
  </si>
  <si>
    <t xml:space="preserve">Đi men, đi trong đường hẹp; bò qua gối/vật; lên bậc thấp có vịn; bật qua vạch; trò chơi vận động.</t>
  </si>
  <si>
    <t xml:space="preserve">Đảm bảo an toàn; khích lệ theo khả năng; quan sát thăng bằng; trẻ chậm vận động cho luyện thêm có hỗ trợ.</t>
  </si>
  <si>
    <t xml:space="preserve">Trong giờ chơi vận động, trẻ tập bò/đi/men theo yêu cầu khác nhau (đi trên đường thẳng, bước qua vật cản thấp) với sự đỡ của cô.</t>
  </si>
  <si>
    <t xml:space="preserve">Trẻ tự thực hiện các vận động di chuyển (đi, chạy, bước qua vật cản, đi theo đường zíc-zắc) khá vững, bước đầu tự kiểm soát tốc độ và hướng đi.</t>
  </si>
  <si>
    <t xml:space="preserve">Từ lăn/thả → tung–bắt với cô → ném về trước; bò qua chướng ngại tăng độ khó dần.</t>
  </si>
  <si>
    <t xml:space="preserve">Video chơi bóng, ném, tung–bắt; ghi mốc bò qua chướng ngại vật.</t>
  </si>
  <si>
    <t xml:space="preserve">Lăn/thả bóng; tung bóng hai tay; ném vào đích to; bò qua gối/vật mềm; mang vật về đích.</t>
  </si>
  <si>
    <t xml:space="preserve">Hỗ trợ phối hợp tay–mắt; đảm bảo an toàn dụng cụ; điều chỉnh khoảng cách theo trẻ.</t>
  </si>
  <si>
    <t xml:space="preserve">Trẻ vận động cùng cô với dụng cụ đơn giản (bóng to, vòng): lăn bóng, chui qua vòng khi cô hỗ trợ.</t>
  </si>
  <si>
    <t xml:space="preserve">Trẻ tự thực hiện vận động với dụng cụ/thiết bị (ném bóng, đi trên ván thăng bằng, leo bậc thấp) cùng nhóm bạn.</t>
  </si>
  <si>
    <t xml:space="preserve">Ngồi–đứng có tựa → không tựa → bật tại chỗ → giữ thăng bằng 1 chân. Mỗi mốc một bậc.</t>
  </si>
  <si>
    <t xml:space="preserve">Video ngồi xổm–đứng lên, bật tại chỗ, đứng 1 chân; ghi thời gian giữ thăng bằng.</t>
  </si>
  <si>
    <t xml:space="preserve">Trò chơi đứng – ngồi; nhún theo nhạc; bật qua vạch; đứng co chân (cây cao cỏ thấp).</t>
  </si>
  <si>
    <t xml:space="preserve">Hỗ trợ tư thế; động viên mạnh dạn; đảm bảo an toàn; trẻ yếu cơ cho luyện nhẹ nhàng.</t>
  </si>
  <si>
    <t xml:space="preserve">Trẻ tập ngồi xổm, đứng lên ngồi xuống với sự đỡ nhẹ của cô trong giờ vận động hoặc giờ chơi tự do.</t>
  </si>
  <si>
    <t xml:space="preserve">Trẻ tự ngồi xổm, đứng lên ngồi xuống, đứng một chân trong giây lát khi chơi trò 'làm theo tôi'.</t>
  </si>
  <si>
    <t xml:space="preserve">Trẻ dùng đi/chạy/bò vào việc thật (đến chỗ ngồi, lấy đồ, chuyển hoạt động) ngày càng chủ động.</t>
  </si>
  <si>
    <t xml:space="preserve">Ghi chép quan sát trong sinh hoạt; video chuyển tiếp hoạt động.</t>
  </si>
  <si>
    <t xml:space="preserve">Đi vào lớp, cất đồ; di chuyển giữa các góc; mang đồ chơi; xếp hàng nhẹ nhàng.</t>
  </si>
  <si>
    <t xml:space="preserve">Tạo cơ hội tự di chuyển an toàn; trẻ chậm cho thêm thời gian, không thúc ép.</t>
  </si>
  <si>
    <t xml:space="preserve">Trong sinh hoạt hằng ngày (đón trẻ, giờ chơi), trẻ bắt đầu vận dụng vận động thô đơn giản như bước qua ngưỡng cửa, leo lên ghế thấp có đỡ.</t>
  </si>
  <si>
    <t xml:space="preserve">Trẻ vận dụng thành thạo vận động thô vào sinh hoạt hằng ngày: tự leo lên/xuống ghế, bước qua bậc thềm, mang đồ vừa sức khi di chuyển trong lớp.</t>
  </si>
  <si>
    <t xml:space="preserve">Cầm nắm thô → xếp khối tăng dần → vẽ nét có chủ đích → xâu/nặn. Kiểm soát cơ nhỏ tăng theo mốc.</t>
  </si>
  <si>
    <t xml:space="preserve">Sản phẩm xếp khối, tranh di màu, vòng xâu hạt; ảnh theo thời gian; video thao tác tay.</t>
  </si>
  <si>
    <t xml:space="preserve">Xếp khối, thả hình, tháo–lắp; xâu hạt to; di màu; nhào đất nặn; lật sách dày.</t>
  </si>
  <si>
    <t xml:space="preserve">Học liệu to, an toàn; quan sát phối hợp tay–mắt; trẻ vụng cho dụng cụ lớn, dễ cầm.</t>
  </si>
  <si>
    <t xml:space="preserve">Trong giờ chơi, trẻ cầm/thả đồ vật to, xếp 2–3 khối chồng lên nhau, lật trang sách dày với sự hỗ trợ.</t>
  </si>
  <si>
    <t xml:space="preserve">Trẻ thao tác khéo hơn: xâu hạt to, xé giấy, vặn nắp hộp, xếp chồng 4–5 khối, kiểm soát tay tốt hơn.</t>
  </si>
  <si>
    <t xml:space="preserve">Tay khéo dần trong tự phục vụ: cầm thìa/cốc, bốc nhón, lấy–cất đồ; mức tự lập tăng.</t>
  </si>
  <si>
    <t xml:space="preserve">Video giờ ăn (tự xúc); ghi chép kỹ năng tự phục vụ; ảnh trẻ cất đồ dùng.</t>
  </si>
  <si>
    <t xml:space="preserve">Tập cầm thìa, cốc; cho búp bê ăn; lấy–cất đồ dùng; mở–đóng hộp.</t>
  </si>
  <si>
    <t xml:space="preserve">Khích lệ tự phục vụ theo khả năng; phối hợp phụ huynh; trẻ yếu tay cho dụng cụ phù hợp.</t>
  </si>
  <si>
    <t xml:space="preserve">Trong giờ ăn/chơi, trẻ cầm thìa xúc thử, cầm cốc hai tay uống nước với sự hỗ trợ.</t>
  </si>
  <si>
    <t xml:space="preserve">Trẻ tự xúc ăn bằng thìa ít rơi vãi, tự cầm cốc uống nước, cài/mở khuy áo to, kéo khóa với trợ giúp nhẹ.</t>
  </si>
  <si>
    <t xml:space="preserve">Từ nhận ra/chỉ → gọi tên → biết thực phẩm nên/không nên ăn. Vốn từ thực phẩm tăng dần.</t>
  </si>
  <si>
    <t xml:space="preserve">Ảnh trẻ chỉ/gọi tên thực phẩm; ghi chép giờ ăn; sản phẩm chơi phân loại thực phẩm.</t>
  </si>
  <si>
    <t xml:space="preserve">NBTN thực phẩm, quả; chơi bán hàng; phân loại rau–củ–quả; trò chuyện món ăn trong ngày.</t>
  </si>
  <si>
    <t xml:space="preserve">Cho làm quen nhiều thực phẩm; phối hợp phụ huynh; không ép trẻ ăn/gọi tên.</t>
  </si>
  <si>
    <t xml:space="preserve">Trong giờ ăn, trẻ nhìn/chỉ vào món ăn khi cô gọi tên; bắt đầu nhận ra 1–2 loại thực phẩm quen thuộc.</t>
  </si>
  <si>
    <t xml:space="preserve">Trẻ gọi tên được một số thực phẩm quen thuộc, biết một số món có lợi cho sức khỏe khi cô trò chuyện trong giờ ăn.</t>
  </si>
  <si>
    <t xml:space="preserve">Tự xúc tăng dần, ăn đa dạng, ăn hết suất, ít rơi vãi. Mức tự lập trong ăn uống tăng.</t>
  </si>
  <si>
    <t xml:space="preserve">Video giờ ăn; sổ theo dõi khẩu phần; ghi chú mức tự xúc và đa dạng thực phẩm.</t>
  </si>
  <si>
    <t xml:space="preserve">Tập tự xúc; cho búp bê ăn; bày bát–thìa; nêu gương bé ăn ngoan.</t>
  </si>
  <si>
    <t xml:space="preserve">Không ép ăn; theo dõi đa dạng thực phẩm; phối hợp phụ huynh; trẻ biếng ăn xử lý nhẹ nhàng.</t>
  </si>
  <si>
    <t xml:space="preserve">Trẻ tập ăn thô dần, thử nhiều loại thực phẩm khi cô khuyến khích, còn cần hỗ trợ nhiều trong giờ ăn.</t>
  </si>
  <si>
    <t xml:space="preserve">Trẻ tự xúc ăn, ăn đa dạng loại thực phẩm, biết mời cô/bạn trước khi ăn, ngồi ăn ngay ngắn hơn.</t>
  </si>
  <si>
    <t xml:space="preserve">Hình thành dần thói quen ngủ–vệ sinh–giữ sạch cơ thể; mức tự giác tăng, nhắc nhở giảm.</t>
  </si>
  <si>
    <t xml:space="preserve">Sổ theo dõi nề nếp; ghi chép giờ ngủ, đi vệ sinh; trao đổi phụ huynh.</t>
  </si>
  <si>
    <t xml:space="preserve">Lập lịch sinh hoạt; chơi tắm/ru búp bê; NBTN bé sạch sẽ; rèn ngủ đúng giờ.</t>
  </si>
  <si>
    <t xml:space="preserve">Phối hợp phụ huynh duy trì tại nhà; trẻ chậm nề nếp cho thời gian, nhắc nhẹ nhàng.</t>
  </si>
  <si>
    <t xml:space="preserve">Trẻ bắt đầu hình thành nhịp sinh hoạt theo giờ (ăn, ngủ) khi cô duy trì đều đặn hằng ngày.</t>
  </si>
  <si>
    <t xml:space="preserve">Trẻ có thói quen ngủ đúng giờ, đi vệ sinh đúng nơi quy định, ít cần nhắc nhở.</t>
  </si>
  <si>
    <t xml:space="preserve">Từ hợp tác để cô làm → bắt chước → tự làm vài bước. Tự lập vệ sinh cá nhân tăng dần.</t>
  </si>
  <si>
    <t xml:space="preserve">Video rửa tay, lau mặt; ảnh các bước; ghi chú mức tự thực hiện.</t>
  </si>
  <si>
    <t xml:space="preserve">Cô làm cho trẻ rửa tay/lau mặt; lau mặt cho búp bê; xem tranh các bước vệ sinh.</t>
  </si>
  <si>
    <t xml:space="preserve">Thực hành nhiều lần có hỗ trợ; trẻ chưa hợp tác cho làm quen từ từ.</t>
  </si>
  <si>
    <t xml:space="preserve">Trong giờ vệ sinh, trẻ được cô hướng dẫn từng bước rửa tay, lau miệng; bắt đầu bắt chước động tác đơn giản.</t>
  </si>
  <si>
    <t xml:space="preserve">Trẻ tự thực hiện một số bước vệ sinh cá nhân (rửa tay theo các bước, lau miệng sau ăn) với ít nhắc nhở.</t>
  </si>
  <si>
    <t xml:space="preserve">Nhận ra → cầm → dùng → lấy–cất đúng đồ dùng cá nhân. Không dùng chung với bạn.</t>
  </si>
  <si>
    <t xml:space="preserve">Ảnh đồ dùng cá nhân có ký hiệu; ghi chú trẻ dùng đúng đồ của mình.</t>
  </si>
  <si>
    <t xml:space="preserve">Nhận biết khăn, cốc của bé; dùng đồ dùng cho búp bê; thực hành lấy–cất.</t>
  </si>
  <si>
    <t xml:space="preserve">Gắn ký hiệu/ảnh trẻ lên đồ dùng; khích lệ dùng đúng, không dùng chung.</t>
  </si>
  <si>
    <t xml:space="preserve">Trẻ cầm thử bàn chải/khăn mặt khi cô đưa, cần cô làm cùng hoàn toàn.</t>
  </si>
  <si>
    <t xml:space="preserve">Trẻ tự cầm và sử dụng đúng cách một số đồ dùng vệ sinh cơ bản (khăn, bàn chải, cốc) với hỗ trợ nhẹ.</t>
  </si>
  <si>
    <t xml:space="preserve">Từ khóc/ra hiệu → báo cô rõ hơn về đau/mệt; chấp nhận mặc–cởi áo, đội mũ theo thời tiết.</t>
  </si>
  <si>
    <t xml:space="preserve">Ghi chép tình huống trẻ báo đau/mệt; quan sát mặc trang phục theo thời tiết.</t>
  </si>
  <si>
    <t xml:space="preserve">NBTN trang phục theo thời tiết; chơi bác sĩ; mặc áo cho búp bê; trò chuyện nóng–lạnh.</t>
  </si>
  <si>
    <t xml:space="preserve">Phối hợp phụ huynh chuẩn bị trang phục; quan sát biểu hiện sức khỏe trẻ thường xuyên.</t>
  </si>
  <si>
    <t xml:space="preserve">Trẻ khóc, tỏ vẻ khó chịu khi đau/mệt nhưng chưa gọi tên được, cần cô quan sát và hỏi han.</t>
  </si>
  <si>
    <t xml:space="preserve">Trẻ biết chỉ vào chỗ đau, nói 'đau' hoặc gọi cô khi khó chịu, giúp cô nhận biết sớm hơn.</t>
  </si>
  <si>
    <t xml:space="preserve">Bắt chước → tự bỏ rác/cất đồ đúng nơi → giữ môi trường sạch. Tự giác tăng dần.</t>
  </si>
  <si>
    <t xml:space="preserve">Ảnh/video trẻ bỏ rác, cất đồ; ghi chép thói quen giữ vệ sinh.</t>
  </si>
  <si>
    <t xml:space="preserve">Bỏ đồ vào rổ cùng cô; nhặt lá bỏ thùng; chơi dọn dẹp lớp.</t>
  </si>
  <si>
    <t xml:space="preserve">Hình thành qua bắt chước hằng ngày; khen hành vi đúng; phối hợp phụ huynh.</t>
  </si>
  <si>
    <t xml:space="preserve">Trẻ bắt chước cô cất đồ chơi vào rổ sau khi chơi, cần cô làm cùng.</t>
  </si>
  <si>
    <t xml:space="preserve">Trẻ tự giác cất đồ chơi đúng chỗ, bỏ rác vào thùng khi được nhắc, tham gia dọn dẹp góc chơi cùng bạn.</t>
  </si>
  <si>
    <t xml:space="preserve">Phản ứng với tín hiệu 'Không/Nóng' → nhận biết dấu hiệu/ký hiệu cảnh báo. Hiểu biết an toàn tăng dần.</t>
  </si>
  <si>
    <t xml:space="preserve">Ghi chép tình huống trẻ phản ứng với cảnh báo; ảnh hoạt động nhận biết biển báo.</t>
  </si>
  <si>
    <t xml:space="preserve">NBTN vật nóng, ổ điện; tín hiệu 'Không/Nóng'; xem tranh biển báo, đèn giao thông.</t>
  </si>
  <si>
    <t xml:space="preserve">Dùng tín hiệu ngắn, nhất quán; tranh ảnh trực quan gần gũi.</t>
  </si>
  <si>
    <t xml:space="preserve">Trẻ giật mình/dừng lại khi cô cảnh báo 'nguy hiểm', 'không' bằng giọng nghiêm; chưa tự nhận biết được.</t>
  </si>
  <si>
    <t xml:space="preserve">Trẻ nhận ra một số dấu hiệu nguy hiểm quen thuộc (ổ điện, cầu thang, vật sắc nhọn) khi được nhắc, biết dừng lại.</t>
  </si>
  <si>
    <t xml:space="preserve">Dừng hành vi khi nhắc → tự tránh đồ vật/nơi nguy hiểm. Ý thức an toàn tăng dần.</t>
  </si>
  <si>
    <t xml:space="preserve">Ghi chép tình huống trẻ tránh nguy hiểm; quan sát phản ứng khi được nhắc.</t>
  </si>
  <si>
    <t xml:space="preserve">NBTN nơi/đồ vật nguy hiểm; chơi tình huống an toàn; làm hàng rào bảo vệ (xây dựng).</t>
  </si>
  <si>
    <t xml:space="preserve">Nhắc nhất quán kèm cử chỉ; phối hợp phụ huynh; luôn giám sát an toàn.</t>
  </si>
  <si>
    <t xml:space="preserve">Trẻ cần cô luôn ở gần để ngăn kịp thời khi lại gần vật/nơi nguy hiểm.</t>
  </si>
  <si>
    <t xml:space="preserve">Trẻ tự tránh một số đồ vật/địa điểm nguy hiểm đã được dạy nhiều lần (không sờ ổ điện, không leo trèo cao), dù vẫn cần giám sát.</t>
  </si>
  <si>
    <t xml:space="preserve">Phản ứng với tên → nhìn gương/ảnh → nhận ra mình. Ý thức về bản thân hình thành dần (mốc ~3 tuổi mới rõ).</t>
  </si>
  <si>
    <t xml:space="preserve">Video trẻ soi gương, xem ảnh; ghi chú phản ứng khi gọi tên, khi hỏi 'ai đây?'.</t>
  </si>
  <si>
    <t xml:space="preserve">Gọi tên trẻ thường xuyên; soi gương; xem album ảnh lớp; NBTN bé là ai.</t>
  </si>
  <si>
    <t xml:space="preserve">Không ép trẻ tự nhận ra sớm; dùng tên trẻ nhiều; tạo cơ hội soi gương, xem ảnh.</t>
  </si>
  <si>
    <t xml:space="preserve">Trẻ khó khăn giao tiếp/cảm xúc (tự kỷ, chậm nói…): dùng tranh/ký hiệu hỗ trợ, kiên nhẫn chờ phản hồi, tạo thói quen ổn định.</t>
  </si>
  <si>
    <t xml:space="preserve">Trong giờ soi gương/xem ảnh (đón trẻ, giờ chơi), trẻ nhìn chăm chú và bắt đầu nhận ra mình khi cô chỉ và gọi tên.</t>
  </si>
  <si>
    <t xml:space="preserve">Trẻ tự chỉ vào mình trong gương/ảnh khi được hỏi 'đâu rồi', vui thích khi nhận ra bản thân.</t>
  </si>
  <si>
    <t xml:space="preserve">Khóc/ra hiệu → chỉ tay → tiếng một → câu ngắn. Cách bày tỏ nhu cầu rõ và chủ động dần.</t>
  </si>
  <si>
    <t xml:space="preserve">Ghi chép tình huống trẻ bày tỏ nhu cầu; video giao tiếp giờ ăn/chơi.</t>
  </si>
  <si>
    <t xml:space="preserve">Khích lệ ra hiệu/nói khi cần; trò chuyện 'bé cần gì'; đáp ứng kịp thời nhu cầu.</t>
  </si>
  <si>
    <t xml:space="preserve">Hỗ trợ trẻ dùng cử chỉ/tiếng thay khóc; không làm thay ngay; phối hợp phụ huynh.</t>
  </si>
  <si>
    <t xml:space="preserve">Trong sinh hoạt hằng ngày, trẻ khóc/ê a/chỉ tay để báo đói, buồn ngủ, muốn bế; cô cần quan sát kỹ để hiểu.</t>
  </si>
  <si>
    <t xml:space="preserve">Trẻ nói được từ/câu ngắn để bày tỏ nhu cầu ('con muốn', 'đi vệ sinh', 'đau') trong giờ ăn/chơi/vệ sinh.</t>
  </si>
  <si>
    <t xml:space="preserve">Với lấy/đẩy ra → chọn lựa → nói thích/không thích. Bày tỏ sở thích rõ và bằng lời dần.</t>
  </si>
  <si>
    <t xml:space="preserve">Ghi chép lựa chọn của trẻ; video trẻ chọn đồ chơi, hoạt động.</t>
  </si>
  <si>
    <t xml:space="preserve">Cho trẻ chọn đồ chơi, bài hát; trò chuyện 'con thích gì'; tôn trọng lựa chọn.</t>
  </si>
  <si>
    <t xml:space="preserve">Tôn trọng khác biệt; tạo cơ hội lựa chọn; khích lệ dùng lời bày tỏ.</t>
  </si>
  <si>
    <t xml:space="preserve">Trẻ đẩy ra hoặc quay đi khi không thích món ăn/đồ chơi, với tay lấy khi thích — biểu hiện qua cử chỉ rõ ràng.</t>
  </si>
  <si>
    <t xml:space="preserve">Trẻ nói hoặc lắc đầu/gật đầu rõ ràng để bày tỏ thích/không thích khi chơi, khi ăn, khi chọn hoạt động.</t>
  </si>
  <si>
    <t xml:space="preserve">Biểu lộ cảm xúc → được gọi tên → tự nhận ra cảm xúc của mình. Nhận thức cảm xúc tăng dần.</t>
  </si>
  <si>
    <t xml:space="preserve">Ghi chép cô gọi tên cảm xúc; ảnh hoạt động nhận biết cảm xúc qua tranh.</t>
  </si>
  <si>
    <t xml:space="preserve">Gọi tên cảm xúc trẻ (con vui/buồn); xem tranh cảm xúc; trò chơi nét mặt.</t>
  </si>
  <si>
    <t xml:space="preserve">Cô gọi tên cảm xúc trong tình huống thực; không ép trẻ; chấp nhận cách trẻ biểu lộ.</t>
  </si>
  <si>
    <t xml:space="preserve">Trẻ cười khi vui, khóc khi buồn/khó chịu; cô gọi tên cảm xúc giúp trẻ dần nhận biết ('con đang vui à').</t>
  </si>
  <si>
    <t xml:space="preserve">Trẻ tự chỉ/nói được mình đang vui hay buồn khi cô hỏi, trong lúc chơi hoặc trò chuyện.</t>
  </si>
  <si>
    <t xml:space="preserve">Cười/lắc đầu → biểu lộ qua nét mặt, cử chỉ → kèm lời nói. Cách biểu lộ phong phú dần.</t>
  </si>
  <si>
    <t xml:space="preserve">Video trẻ biểu lộ cảm xúc khi chơi; ảnh trò chơi nét mặt.</t>
  </si>
  <si>
    <t xml:space="preserve">Bắt chước nét mặt; trò chơi cảm xúc; thể hiện cảm xúc khi chơi búp bê.</t>
  </si>
  <si>
    <t xml:space="preserve">Tôn trọng cảm xúc; hướng dẫn biểu lộ phù hợp thay hành vi tiêu cực.</t>
  </si>
  <si>
    <t xml:space="preserve">Trẻ bắt chước nét mặt của cô (cười, nhăn mặt) trong giờ chơi gương mặt, hát các bài có biểu cảm.</t>
  </si>
  <si>
    <t xml:space="preserve">Trẻ biểu lộ cảm xúc rõ qua nét mặt, cử chỉ, lời nói phù hợp tình huống (vỗ tay khi vui, mếu khi buồn).</t>
  </si>
  <si>
    <t xml:space="preserve">Dừng khi nhắc kèm cử chỉ → tự dừng/đổi hành vi → chờ đến lượt. Tự kiểm soát tăng dần.</t>
  </si>
  <si>
    <t xml:space="preserve">Ghi chép tình huống trẻ dừng/đổi hành vi; video trò chơi làm theo hiệu lệnh.</t>
  </si>
  <si>
    <t xml:space="preserve">Trò chơi theo hiệu lệnh (đèn xanh–đỏ); cất đồ khi có tín hiệu; chờ đến lượt.</t>
  </si>
  <si>
    <t xml:space="preserve">Hiệu lệnh ngắn, nhất quán, kèm cử chỉ; khen khi trẻ điều chỉnh; (lời 'khởi động' dễ theo hơn 'kìm hãm').</t>
  </si>
  <si>
    <t xml:space="preserve">Trẻ có thể dừng hành động không mong muốn khi cô nhắc bằng giọng rõ, cử chỉ tay ('không con').</t>
  </si>
  <si>
    <t xml:space="preserve">Trẻ dừng lại hoặc đổi hành vi khi được nhắc nhẹ nhàng, ít cần nhắc lại nhiều lần.</t>
  </si>
  <si>
    <t xml:space="preserve">Quen lớp/nhóm → nhận ra người thân → biết vị trí mình. Hiểu quan hệ xã hội tăng dần.</t>
  </si>
  <si>
    <t xml:space="preserve">Ảnh trẻ trong nhóm/lớp; ghi chép trẻ nhận biết người thân, vị trí của mình.</t>
  </si>
  <si>
    <t xml:space="preserve">NBTN gia đình, lớp của bé; chơi mẹ con; xem ảnh gia đình, lớp.</t>
  </si>
  <si>
    <t xml:space="preserve">Dùng từ bố/mẹ/cô/bạn nhiều; phối hợp phụ huynh; không ép trẻ ghi nhớ.</t>
  </si>
  <si>
    <t xml:space="preserve">Trong giờ trò chuyện gia đình (xem ảnh người thân), trẻ nhận ra mình là 'con', 'em' khi cô hỏi.</t>
  </si>
  <si>
    <t xml:space="preserve">Trẻ nói được vai trò của mình trong gia đình/lớp ('con của mẹ', 'bạn của Bi') khi trò chuyện.</t>
  </si>
  <si>
    <t xml:space="preserve">Phản ứng với tên → chỉ bộ phận → biết tên, giới tính. Thông tin về bản thân tăng dần.</t>
  </si>
  <si>
    <t xml:space="preserve">Ghi chép trẻ trả lời 'con tên gì'; video chỉ bộ phận cơ thể.</t>
  </si>
  <si>
    <t xml:space="preserve">NBTN tên của bé, bộ phận cơ thể, bé trai–bé gái; soi gương; xem ảnh.</t>
  </si>
  <si>
    <t xml:space="preserve">Chỉ tập trung tên + vài bộ phận quen; không ép ghi nhớ nhiều thông tin.</t>
  </si>
  <si>
    <t xml:space="preserve">Trẻ ê a/chỉ vào các bộ phận cơ thể khi cô hỏi trong giờ chăm sóc (tắm, thay đồ, vệ sinh).</t>
  </si>
  <si>
    <t xml:space="preserve">Trẻ nói được tên mình, tuổi, hoặc 1-2 thông tin đơn giản khi được hỏi trong giờ trò chuyện.</t>
  </si>
  <si>
    <t xml:space="preserve">Hướng về người quen → bập bẹ gọi → gọi đúng tên người thân, cô, bạn. Vốn tên người tăng dần.</t>
  </si>
  <si>
    <t xml:space="preserve">Video trẻ gọi tên cô, bạn; ghi chép khả năng nhận biết người thân.</t>
  </si>
  <si>
    <t xml:space="preserve">NBTN gia đình, cô giáo, bạn của bé; chơi gia đình; xem album ảnh lớp.</t>
  </si>
  <si>
    <t xml:space="preserve">Phối hợp phụ huynh; tăng cơ hội giao tiếp; chấp nhận cách phát âm của trẻ.</t>
  </si>
  <si>
    <t xml:space="preserve">Trẻ quay đầu/cười khi nghe gọi tên cô hoặc bạn thân quen trong lớp.</t>
  </si>
  <si>
    <t xml:space="preserve">Trẻ gọi tên được cô giáo và một số bạn trong lớp khi chơi, khi điểm danh.</t>
  </si>
  <si>
    <t xml:space="preserve">Vẫy tay/cười → bắt chước chào → chủ động làm quen. Kỹ năng giao tiếp xã hội tăng dần.</t>
  </si>
  <si>
    <t xml:space="preserve">Video trẻ chào, làm quen; ghi chép mức mạnh dạn giao tiếp.</t>
  </si>
  <si>
    <t xml:space="preserve">Hướng dẫn vẫy tay chào; trò chơi làm quen tên bạn; chơi nhóm nhỏ.</t>
  </si>
  <si>
    <t xml:space="preserve">Tạo nhiều cơ hội giao tiếp; khích lệ dùng lời thay khóc; trẻ nhút nhát cho thời gian.</t>
  </si>
  <si>
    <t xml:space="preserve">Trẻ nhìn, cười, đưa tay ra khi người lạ/bạn mới tiếp cận nhẹ nhàng, cần thời gian làm quen.</t>
  </si>
  <si>
    <t xml:space="preserve">Trẻ chủ động vẫy tay, cười chào, nói 'chào' với bạn mới hoặc khách đến lớp.</t>
  </si>
  <si>
    <t xml:space="preserve">Chỉ/kéo tay → tiếng một → câu ngắn bày tỏ nhu cầu, cảm xúc với người khác. Giao tiếp chủ động dần.</t>
  </si>
  <si>
    <t xml:space="preserve">Ghi chép tình huống trẻ bày tỏ với cô/bạn; video giao tiếp khi chơi.</t>
  </si>
  <si>
    <t xml:space="preserve">Khích lệ ra hiệu/nói nhu cầu; trò chuyện 'bé muốn gì'; chơi đóng vai giao tiếp.</t>
  </si>
  <si>
    <t xml:space="preserve">Không làm thay; hỗ trợ trẻ tự bày tỏ; mở rộng câu ngắn dần.</t>
  </si>
  <si>
    <t xml:space="preserve">Trẻ dùng cử chỉ (chỉ tay, kéo áo cô) để bày tỏ mong muốn trong giờ chơi/ăn.</t>
  </si>
  <si>
    <t xml:space="preserve">Trẻ nói câu ngắn bày tỏ mong muốn, cảm xúc với cô/bạn ('con muốn chơi', 'bạn ơi chơi cùng').</t>
  </si>
  <si>
    <t xml:space="preserve">Đưa đồ cho bạn khi cô bảo → giúp việc nhỏ có hướng dẫn. Hành vi hợp tác hình thành dần.</t>
  </si>
  <si>
    <t xml:space="preserve">Video trẻ đưa đồ, giúp bạn; ghi chép hành vi hợp tác.</t>
  </si>
  <si>
    <t xml:space="preserve">Khích lệ đưa đồ cho bạn; cùng cất đồ chơi; xem tranh giúp bạn.</t>
  </si>
  <si>
    <t xml:space="preserve">Tập trung hành vi giúp đơn giản dưới hướng dẫn; khen hành vi hợp tác.</t>
  </si>
  <si>
    <t xml:space="preserve">Trẻ nhìn cô giúp bạn và bắt chước làm theo khi được khuyến khích (đưa đồ chơi cho bạn).</t>
  </si>
  <si>
    <t xml:space="preserve">Trẻ giúp bạn việc đơn giản (nhặt đồ chơi rơi, đưa khăn) khi cô hướng dẫn hoặc gợi ý.</t>
  </si>
  <si>
    <t xml:space="preserve">Nhìn theo bạn khóc/cười → chú ý nét mặt → nhận ra, gọi tên cảm xúc người khác. Đồng cảm hình thành dần.</t>
  </si>
  <si>
    <t xml:space="preserve">Ghi chép phản ứng của trẻ với cảm xúc bạn; ảnh hoạt động nhận biết cảm xúc.</t>
  </si>
  <si>
    <t xml:space="preserve">Hỏi 'bạn vui hay buồn'; xem tranh cảm xúc; quan sát cảm xúc bạn khi chơi.</t>
  </si>
  <si>
    <t xml:space="preserve">Cô gọi tên cảm xúc của trẻ và bạn trong tình huống thực.</t>
  </si>
  <si>
    <t xml:space="preserve">Trẻ nhìn mặt bạn/cô và có phản ứng (im lặng, lại gần) khi thấy bạn khóc, cô cần gọi tên cảm xúc giúp.</t>
  </si>
  <si>
    <t xml:space="preserve">Trẻ nhận ra và gọi tên được cảm xúc của bạn/cô ('bạn khóc', 'cô vui') trong tình huống thực tế.</t>
  </si>
  <si>
    <t xml:space="preserve">Ôm/nép → thích gần → cử chỉ thân thiện → kèm lời nói. Tình cảm gắn bó thể hiện rõ dần.</t>
  </si>
  <si>
    <t xml:space="preserve">Ảnh/video trẻ thể hiện tình cảm; ghi chép cử chỉ thân thiện với cô, bạn.</t>
  </si>
  <si>
    <t xml:space="preserve">Đón trẻ ân cần; bài hát Cả nhà thương nhau; chơi chăm sóc em bé; tặng đồ cho bạn.</t>
  </si>
  <si>
    <t xml:space="preserve">Tạo môi trường giàu cảm xúc tích cực; động viên trẻ thể hiện tình cảm.</t>
  </si>
  <si>
    <t xml:space="preserve">Trẻ ôm, cười, sà vào lòng cô/người thân — biểu hiện gắn bó tự nhiên, cần được đáp lại ấm áp.</t>
  </si>
  <si>
    <t xml:space="preserve">Trẻ chủ động thể hiện yêu quý qua lời nói, hành động (ôm cô, tặng đồ chơi cho bạn, nói 'yêu cô').</t>
  </si>
  <si>
    <t xml:space="preserve">Dừng cào/cắn khi nhắc → chơi nhẹ nhàng → không làm đau bạn. Kiểm soát hành vi tăng dần.</t>
  </si>
  <si>
    <t xml:space="preserve">Ghi chép tình huống trẻ dừng hành vi làm đau; quan sát chơi hòa thuận.</t>
  </si>
  <si>
    <t xml:space="preserve">Nhắc chơi nhẹ nhàng; xem tranh hành vi nên/không nên; chơi nhóm nhỏ.</t>
  </si>
  <si>
    <t xml:space="preserve">Hướng dẫn dùng cử chỉ thay đánh, cắn; phối hợp phụ huynh; kịp thời ngăn hành vi.</t>
  </si>
  <si>
    <t xml:space="preserve">Trẻ có thể còn cắn/đẩy bạn khi tranh giành, cô can thiệp nhẹ nhàng và hướng dẫn cách chơi an toàn.</t>
  </si>
  <si>
    <t xml:space="preserve">Trẻ chơi nhẹ nhàng, hiếm khi làm đau bạn; khi có xung đột biết gọi cô thay vì đánh/cắn.</t>
  </si>
  <si>
    <t xml:space="preserve">Chấp nhận bạn bên cạnh → chơi cạnh bạn → không tranh giành. Kỹ năng chơi cùng tăng dần.</t>
  </si>
  <si>
    <t xml:space="preserve">Video trẻ chơi cạnh bạn; ghi chép mức tranh giành/hòa thuận.</t>
  </si>
  <si>
    <t xml:space="preserve">Chơi cạnh bạn (xếp khối, xâu hạt) có hỗ trợ; cùng cất đồ chơi; chơi nhóm nhỏ.</t>
  </si>
  <si>
    <t xml:space="preserve">Khích lệ chơi cạnh bạn ngắn rồi tăng dần; khen hành vi hợp tác.</t>
  </si>
  <si>
    <t xml:space="preserve">Trẻ chơi một mình gần bạn (chơi song song), thỉnh thoảng nhìn/bắt chước bạn.</t>
  </si>
  <si>
    <t xml:space="preserve">Trẻ chơi cạnh bạn vui vẻ, ít tranh giành đồ chơi, biết chờ đến lượt với sự nhắc nhở.</t>
  </si>
  <si>
    <t xml:space="preserve">Khóc/kéo tay → chỉ → tiếng/câu ngắn nhờ giúp. Cách yêu cầu giúp đỡ rõ và chủ động dần.</t>
  </si>
  <si>
    <t xml:space="preserve">Ghi chép tình huống trẻ nhờ giúp; video trẻ ra hiệu/nói khi gặp khó.</t>
  </si>
  <si>
    <t xml:space="preserve">Khích lệ ra hiệu/nói khi cần; nhờ cô mở hộp, lấy đồ; xem tranh tình huống cần giúp.</t>
  </si>
  <si>
    <t xml:space="preserve">Không làm thay ngay; tạo cơ hội để trẻ chủ động ra hiệu nhờ giúp.</t>
  </si>
  <si>
    <t xml:space="preserve">Trẻ kéo tay cô, chỉ vào vật cần khi muốn được giúp đỡ.</t>
  </si>
  <si>
    <t xml:space="preserve">Trẻ nói/ra hiệu rõ ràng để nhờ cô hoặc bạn giúp đỡ khi gặp khó khăn.</t>
  </si>
  <si>
    <t xml:space="preserve">Bắt chước vẫy tay/'ạ' → chào hỏi lễ phép. Hành vi lễ phép hình thành dần.</t>
  </si>
  <si>
    <t xml:space="preserve">Video trẻ chào, 'ạ'; ghi chép hành vi lễ phép.</t>
  </si>
  <si>
    <t xml:space="preserve">Hướng dẫn vẫy tay chào, 'ạ'; thơ về lời chào; thực hành chào khi đón–trả.</t>
  </si>
  <si>
    <t xml:space="preserve">Cô và người lớn làm gương; phối hợp phụ huynh rèn nề nếp giao tiếp.</t>
  </si>
  <si>
    <t xml:space="preserve">Trẻ khoanh tay/cúi đầu chào khi cô làm mẫu và nhắc trong giờ đón-trả trẻ.</t>
  </si>
  <si>
    <t xml:space="preserve">Trẻ chủ động chào hỏi lễ phép người thân, cô giáo khi đến lớp/ra về, ít cần nhắc.</t>
  </si>
  <si>
    <t xml:space="preserve">Ngồi vào chỗ theo cô → theo nề nếp → thực hiện quy định đơn giản. Tuân thủ nề nếp tăng dần.</t>
  </si>
  <si>
    <t xml:space="preserve">Ghi chép trẻ thực hiện nề nếp; video chuyển tiếp hoạt động.</t>
  </si>
  <si>
    <t xml:space="preserve">Trò chuyện 'bé ngồi đúng chỗ'; làm theo hiệu lệnh kèm cử chỉ; chơi theo lượt.</t>
  </si>
  <si>
    <t xml:space="preserve">Hướng dẫn nhẹ nhàng, nhất quán; khen khi trẻ thực hiện tốt.</t>
  </si>
  <si>
    <t xml:space="preserve">Trẻ làm theo 1-2 quy định đơn giản của lớp (xếp hàng, ngồi vào ghế) khi cô hướng dẫn trực tiếp.</t>
  </si>
  <si>
    <t xml:space="preserve">Trẻ tự giác thực hiện một số quy định quen thuộc của lớp (rửa tay trước ăn, xếp dép gọn) mà không cần nhắc nhiều.</t>
  </si>
  <si>
    <t xml:space="preserve">Bắt chước bỏ đồ vào rổ → tự cất dọn có hướng dẫn. Thói quen cất dọn hình thành dần.</t>
  </si>
  <si>
    <t xml:space="preserve">Video trẻ cất đồ chơi; ghi chép thói quen cất dọn.</t>
  </si>
  <si>
    <t xml:space="preserve">Bỏ đồ chơi vào rổ cùng cô; xem tranh bé cất đồ; thi đua cất đồ chơi.</t>
  </si>
  <si>
    <t xml:space="preserve">Rèn qua bắt chước cô; phối hợp phụ huynh; khen khi trẻ cất dọn.</t>
  </si>
  <si>
    <t xml:space="preserve">Trẻ bắt chước cô cất 1-2 món đồ chơi vào đúng rổ khi được cầm tay hướng dẫn.</t>
  </si>
  <si>
    <t xml:space="preserve">Trẻ tự cất dọn đồ chơi, đồ dùng cá nhân sau khi chơi với sự hướng dẫn nhẹ.</t>
  </si>
  <si>
    <t xml:space="preserve">Chạm nhẹ → bắt chước tưới cây/cho ăn → chăm sóc có hướng dẫn. Hành vi chăm sóc hình thành dần.</t>
  </si>
  <si>
    <t xml:space="preserve">Ảnh/video trẻ tưới cây, cho cá ăn; ghi chép hành vi chăm sóc.</t>
  </si>
  <si>
    <t xml:space="preserve">Góc thiên nhiên: tưới cây, chạm lá; cho cá ăn cùng cô; chăm sóc vật nuôi.</t>
  </si>
  <si>
    <t xml:space="preserve">Khích lệ yêu quý cây, con vật; không làm đau con vật; đảm bảo an toàn.</t>
  </si>
  <si>
    <t xml:space="preserve">Trẻ sờ nhẹ lá cây, nhìn con vật nuôi cùng cô, bắt chước hành động chăm sóc đơn giản (tưới nước).</t>
  </si>
  <si>
    <t xml:space="preserve">Trẻ tự thực hiện một số hành động chăm sóc cây/con vật quen thuộc khi được hướng dẫn (cho cá ăn, tưới cây).</t>
  </si>
  <si>
    <t xml:space="preserve">Bắt chước bỏ rác → tự bỏ rác/cất đồ đúng nơi → quan tâm môi trường. Ý thức môi trường tăng dần.</t>
  </si>
  <si>
    <t xml:space="preserve">Ảnh/video trẻ bỏ rác, cất đồ; ghi chép hành vi bảo vệ môi trường.</t>
  </si>
  <si>
    <t xml:space="preserve">Bỏ rác vào thùng cùng cô; nhặt lá, giấy; chơi dọn dẹp lớp; hát về môi trường.</t>
  </si>
  <si>
    <t xml:space="preserve">Hình thành qua bắt chước cô hằng ngày; khen hành vi đúng.</t>
  </si>
  <si>
    <t xml:space="preserve">Trẻ bắt chước cô nhặt rác bỏ vào thùng khi được cầm tay chỉ dẫn.</t>
  </si>
  <si>
    <t xml:space="preserve">Trẻ tự giác thực hiện hành vi bảo vệ môi trường quen thuộc (bỏ rác đúng chỗ, không ngắt lá bẻ cành) khi được nhắc.</t>
  </si>
  <si>
    <t xml:space="preserve">Làm theo yêu cầu kèm cử chỉ → chỉ bằng lời → 2 yêu cầu liên tiếp. Hiểu lời nói tăng dần.</t>
  </si>
  <si>
    <t xml:space="preserve">Video trẻ làm theo yêu cầu của cô; ghi chép mức hiểu lời (cần cử chỉ/chỉ lời).</t>
  </si>
  <si>
    <t xml:space="preserve">Yêu cầu đơn giản kèm cử chỉ (lại đây, đưa cô); trò chơi nghe–làm theo; NBTN đồ dùng.</t>
  </si>
  <si>
    <t xml:space="preserve">Dùng câu ngắn kèm cử chỉ; gắn lời nói với tình huống cụ thể; giảm cử chỉ dần.</t>
  </si>
  <si>
    <t xml:space="preserve">Trẻ khiếm thính/chậm ngôn ngữ: kết hợp hình ảnh – cử chỉ – khẩu hình rõ; trẻ khiếm thị: tăng mô tả bằng lời, âm thanh.</t>
  </si>
  <si>
    <t xml:space="preserve">Trong sinh hoạt hằng ngày, trẻ nhìn cô, dừng lại khi nghe 'không', làm theo 1 hiệu lệnh quen thuộc kèm cử chỉ ('lại đây' + vẫy tay).</t>
  </si>
  <si>
    <t xml:space="preserve">Trẻ nghe và làm theo được 1-2 yêu cầu liên tiếp bằng lời (không cần cử chỉ kèm theo) trong giờ chơi, giờ dọn dẹp.</t>
  </si>
  <si>
    <t xml:space="preserve">Chỉ tay → chỉ + tiếng → câu ngắn trả lời. Hiểu và đáp câu hỏi tăng dần.</t>
  </si>
  <si>
    <t xml:space="preserve">Video hỏi–đáp; ghi chép cách trẻ trả lời (chỉ/tiếng/câu).</t>
  </si>
  <si>
    <t xml:space="preserve">NBTN; hỏi 'ai đây, con gì đây'; trẻ nhìn/chỉ trả lời; trò chơi chỉ–đáp.</t>
  </si>
  <si>
    <t xml:space="preserve">Chấp nhận trả lời bằng nhìn, chỉ tay; tạo nhiều cơ hội giao tiếp.</t>
  </si>
  <si>
    <t xml:space="preserve">Trẻ trả lời câu hỏi quen thuộc bằng 1 từ hoặc chỉ tay ('đâu bóng?' — chỉ vào bóng) trong giờ chơi.</t>
  </si>
  <si>
    <t xml:space="preserve">Trẻ hiểu và trả lời được câu hỏi đơn giản liên quan tình huống quen thuộc bằng câu ngắn ('con ăn cơm').</t>
  </si>
  <si>
    <t xml:space="preserve">Bập bẹ → phát âm tiếng một → phát âm rõ. Khả năng phát âm tiến dần (chấp nhận ngôn ngữ tự trị giai đoạn đầu).</t>
  </si>
  <si>
    <t xml:space="preserve">Ghi âm/video trẻ phát âm; ghi chép vốn từ phát âm được.</t>
  </si>
  <si>
    <t xml:space="preserve">Gọi tên trẻ, đồ vật; NBTN; trẻ phát âm theo cô; trò chơi gọi tên đồ vật.</t>
  </si>
  <si>
    <t xml:space="preserve">Sửa phát âm nhẹ nhàng; khích lệ lặp lại; chấp nhận cách phát âm của trẻ giai đoạn đầu.</t>
  </si>
  <si>
    <t xml:space="preserve">Trẻ bập bẹ, phát âm chưa rõ các tiếng quen thuộc (măm măm, ba, mẹ) trong giao tiếp hằng ngày.</t>
  </si>
  <si>
    <t xml:space="preserve">Trẻ phát âm rõ hơn các tiếng quen thuộc khi gọi tên đồ vật, người thân trong giờ chơi/trò chuyện.</t>
  </si>
  <si>
    <t xml:space="preserve">Câu một tiếng → câu hai tiếng (~20th) → câu đơn. Diễn đạt bằng câu tăng dần.</t>
  </si>
  <si>
    <t xml:space="preserve">Ghi âm/video trẻ nói; ghi chép độ dài câu (1 tiếng/2 tiếng/câu đơn).</t>
  </si>
  <si>
    <t xml:space="preserve">Khích lệ nói tiếng một, câu ngắn; làm mẫu câu ngắn; bày tỏ ý muốn khi chơi.</t>
  </si>
  <si>
    <t xml:space="preserve">Làm mẫu câu ngắn dễ hiểu; mở rộng vốn từ dần; không ép nói câu dài.</t>
  </si>
  <si>
    <t xml:space="preserve">Trẻ dùng 2 tiếng ghép lại để bày tỏ ý muốn ('mẹ bế', 'uống nước') trong sinh hoạt.</t>
  </si>
  <si>
    <t xml:space="preserve">Trẻ nói được câu đơn với từ quen thuộc để diễn đạt ý muốn ('con muốn chơi bóng') khi chơi/giao tiếp.</t>
  </si>
  <si>
    <t xml:space="preserve">Chỉ tay → 'gì đây' → câu hỏi đơn giản. Nhu cầu hỏi và khả năng đặt câu hỏi tăng dần.</t>
  </si>
  <si>
    <t xml:space="preserve">Ghi chép câu hỏi trẻ đặt; video tình huống trẻ hỏi 'gì đây'.</t>
  </si>
  <si>
    <t xml:space="preserve">Tạo tình huống để trẻ chỉ, hỏi 'gì đây'; khám phá đồ vật; xem tranh và hỏi.</t>
  </si>
  <si>
    <t xml:space="preserve">Khích lệ trẻ mạnh dạn hỏi; đáp ứng và gọi đúng tên cho trẻ.</t>
  </si>
  <si>
    <t xml:space="preserve">Trẻ hỏi ngắn 'cái gì' khi tò mò về vật mới trong giờ khám phá.</t>
  </si>
  <si>
    <t xml:space="preserve">Trẻ đặt được câu hỏi đơn giản ('cái gì đây', 'đi đâu') khi khám phá, trò chuyện với cô.</t>
  </si>
  <si>
    <t xml:space="preserve">Tiếng + ánh mắt → tiếng + chỉ tay → lời + điệu bộ. Kết hợp lời và phi lời tăng dần.</t>
  </si>
  <si>
    <t xml:space="preserve">Video trẻ kết hợp lời nói với cử chỉ; ghi chép cách biểu đạt.</t>
  </si>
  <si>
    <t xml:space="preserve">Nhận biết cảm xúc; trẻ kết hợp tiếng, chỉ tay, nét mặt; chơi đóng vai.</t>
  </si>
  <si>
    <t xml:space="preserve">Cô làm mẫu biểu lộ; khích lệ trẻ diễn đạt bằng tiếng kèm cử chỉ.</t>
  </si>
  <si>
    <t xml:space="preserve">Trẻ dùng cử chỉ (chỉ tay, kéo áo) kèm âm thanh để thể hiện ý muốn khi chưa nói rõ được.</t>
  </si>
  <si>
    <t xml:space="preserve">Trẻ kết hợp lời nói với cử chỉ, ánh mắt để thể hiện ý kiến/cảm xúc rõ ràng hơn trong giao tiếp.</t>
  </si>
  <si>
    <t xml:space="preserve">Bắt chước vẫy tay/'ạ' → dùng từ chào, cảm ơn, tạm biệt phù hợp. Từ lễ phép tăng dần.</t>
  </si>
  <si>
    <t xml:space="preserve">Video trẻ chào, cảm ơn, tạm biệt; ghi chép dùng từ lễ phép.</t>
  </si>
  <si>
    <t xml:space="preserve">Thực hành chào, 'ạ', tạm biệt khi đón–trả; đóng vai chào hỏi; nêu gương bé lễ phép.</t>
  </si>
  <si>
    <t xml:space="preserve">Cô và người lớn làm gương; phối hợp phụ huynh rèn lời lễ phép.</t>
  </si>
  <si>
    <t xml:space="preserve">Trẻ vẫy tay tạm biệt, nói 'ạ' khi được cô nhắc trong giờ đón-trả trẻ.</t>
  </si>
  <si>
    <t xml:space="preserve">Trẻ tự nói được lời chào, cảm ơn, xin lỗi phù hợp tình huống mà không cần nhắc nhiều.</t>
  </si>
  <si>
    <t xml:space="preserve">Chỉ tranh → phát tiếng mô phỏng → diễn đạt hành động nhân vật theo cách của trẻ. Diễn đạt tăng dần.</t>
  </si>
  <si>
    <t xml:space="preserve">Video trẻ xem tranh truyện, mô phỏng nhân vật; ghi chép cách diễn đạt.</t>
  </si>
  <si>
    <t xml:space="preserve">Xem tranh truyện; cô kể, trẻ chỉ, mô phỏng nhân vật; chơi rối tay.</t>
  </si>
  <si>
    <t xml:space="preserve">Dùng tranh khổ lớn; chấp nhận trẻ diễn đạt bằng tiếng, cử chỉ.</t>
  </si>
  <si>
    <t xml:space="preserve">Trẻ chỉ vào tranh và bắt chước hành động của nhân vật (vỗ tay, vẫy tay) khi nghe kể chuyện.</t>
  </si>
  <si>
    <t xml:space="preserve">Trẻ diễn đạt bằng lời về hành động nhân vật trong tranh truyện theo cách hiểu của mình.</t>
  </si>
  <si>
    <t xml:space="preserve">Hóng nghe → nhún/bập bẹ → đọc/hát theo có nhịp điệu. Cảm thụ và thể hiện ngôn ngữ tăng dần.</t>
  </si>
  <si>
    <t xml:space="preserve">Video trẻ đọc thơ, hát; ghi chép mức tham gia (hóng nghe/bập bẹ/đọc theo).</t>
  </si>
  <si>
    <t xml:space="preserve">Đọc thơ, hát bài ngắn; trẻ hóng nghe, bập bẹ, nhún theo; góc âm nhạc.</t>
  </si>
  <si>
    <t xml:space="preserve">Cho trẻ tiếp xúc thường xuyên thơ, bài hát; chú trọng hứng thú.</t>
  </si>
  <si>
    <t xml:space="preserve">Trẻ ê a theo giai điệu, đọc được vài từ cuối câu thơ/bài hát quen thuộc cùng cô.</t>
  </si>
  <si>
    <t xml:space="preserve">Trẻ đọc thơ, hát, kể lại đoạn chuyện ngắn có nhịp điệu, diễn cảm theo cách riêng.</t>
  </si>
  <si>
    <t xml:space="preserve">Cầm/vỗ sách → lật trang → chủ động cầm, mở, lật. Kỹ năng với sách tăng dần.</t>
  </si>
  <si>
    <t xml:space="preserve">Video trẻ cầm, lật sách; ghi chép mức chủ động với sách.</t>
  </si>
  <si>
    <t xml:space="preserve">Góc sách: cầm, lật sách vải/sách dày; xem tranh cùng cô; mang sách ra sân.</t>
  </si>
  <si>
    <t xml:space="preserve">Bố trí góc sách vừa tầm; dùng sách vải/sách dày bền cho trẻ.</t>
  </si>
  <si>
    <t xml:space="preserve">Trong góc sách, trẻ cầm, lật sách (có thể chưa đúng chiều), thích thú với sách có hình to.</t>
  </si>
  <si>
    <t xml:space="preserve">Trẻ chủ động lấy sách, lật đúng chiều, chỉ vào tranh khi xem sách một mình hoặc cùng bạn.</t>
  </si>
  <si>
    <t xml:space="preserve">Hóng/cười → chỉ tranh → thích nghe đọc sách. Hứng thú với sách tăng dần.</t>
  </si>
  <si>
    <t xml:space="preserve">Video trẻ nghe cô đọc sách; ghi chép mức hứng thú, thời gian tập trung.</t>
  </si>
  <si>
    <t xml:space="preserve">Cô đọc truyện tranh; trẻ hóng nghe, cười, chỉ tranh; ngồi vào lòng cô xem sách.</t>
  </si>
  <si>
    <t xml:space="preserve">Xây thói quen đọc sách hằng ngày; đọc diễn cảm kèm cử chỉ.</t>
  </si>
  <si>
    <t xml:space="preserve">Trẻ ngồi yên, chăm chú nhìn khi cô đọc sách có tranh to, âm thanh vui.</t>
  </si>
  <si>
    <t xml:space="preserve">Trẻ chủ động xin cô đọc sách, thể hiện vui thích rõ ràng khi nghe đọc truyện.</t>
  </si>
  <si>
    <t xml:space="preserve">Nhìn hình → chỉ hình quen thuộc → chỉ hình ảnh và chú ý chữ. Kỹ năng đọc ban đầu tăng dần.</t>
  </si>
  <si>
    <t xml:space="preserve">Video trẻ chỉ hình trong sách; ghi chép khả năng chỉ hình theo yêu cầu.</t>
  </si>
  <si>
    <t xml:space="preserve">Góc sách: chỉ hình ảnh theo yêu cầu; tìm hình quen thuộc; so sánh hình với vật thật.</t>
  </si>
  <si>
    <t xml:space="preserve">Dùng sách hình rõ nét, ít chữ; khích lệ trẻ chỉ hình khi xem.</t>
  </si>
  <si>
    <t xml:space="preserve">Trẻ chỉ vào hình ảnh quen thuộc trong sách khi cô hỏi ('con vịt đâu').</t>
  </si>
  <si>
    <t xml:space="preserve">Trẻ chỉ được cả phần hình ảnh và chữ viết khi cô giới thiệu trong giờ đọc sách.</t>
  </si>
  <si>
    <t xml:space="preserve">Cầm sáp → chấm/di màu → chủ động tạo nét vẽ. Kỹ năng cầm bút/vẽ tăng dần.</t>
  </si>
  <si>
    <t xml:space="preserve">Sản phẩm vẽ của trẻ theo thời gian; video trẻ cầm sáp tạo nét.</t>
  </si>
  <si>
    <t xml:space="preserve">Cho trẻ làm quen sáp to; di màu, chấm màu trên giấy khổ lớn; vẽ phấn trên sân.</t>
  </si>
  <si>
    <t xml:space="preserve">Chuẩn bị sáp to, giấy khổ lớn; không yêu cầu giống mẫu.</t>
  </si>
  <si>
    <t xml:space="preserve">Trong góc tạo hình, trẻ cầm bút to, tạo vệt màu tự do trên giấy khi cô đưa bút.</t>
  </si>
  <si>
    <t xml:space="preserve">Trẻ chủ động lấy bút/sáp màu và vẽ nét trên giấy/bảng theo ý mình, không cần cô đưa.</t>
  </si>
  <si>
    <t xml:space="preserve">Di tay → chấm/gạch → tạo nét nguệch ngoạc. Khả năng tạo nét tăng dần.</t>
  </si>
  <si>
    <t xml:space="preserve">Sản phẩm vẽ nguệch ngoạc theo thời gian; ảnh trưng bày.</t>
  </si>
  <si>
    <t xml:space="preserve">Di, chấm, gạch tạo vệt; in dấu tay; vẽ phấn trên sân; chơi đất nặn tạo vệt.</t>
  </si>
  <si>
    <t xml:space="preserve">Chuẩn bị vật liệu đa dạng, to; quan sát phối hợp tay–mắt.</t>
  </si>
  <si>
    <t xml:space="preserve">Trẻ quẹt bút tạo vài vệt nguệch ngoạc trên giấy khi được khuyến khích cầm bút.</t>
  </si>
  <si>
    <t xml:space="preserve">Trẻ tạo được nhiều nét nguệch ngoạc đa dạng hơn, thể hiện hứng thú với việc vẽ.</t>
  </si>
  <si>
    <t xml:space="preserve">Nhìn/với tay → ngạc nhiên → hỏi về điều mới. Sự tò mò tăng dần.</t>
  </si>
  <si>
    <t xml:space="preserve">Video trẻ khám phá điều mới; ghi chép biểu hiện tò mò.</t>
  </si>
  <si>
    <t xml:space="preserve">Giới thiệu đồ chơi, học liệu mới; tạo bất ngờ thú vị; quan sát cây, con vật mới.</t>
  </si>
  <si>
    <t xml:space="preserve">Tạo môi trường nhiều đồ vật mới; thay đổi học liệu theo chủ đề.</t>
  </si>
  <si>
    <t xml:space="preserve">Trẻ khiếm thị: tăng vật liệu sờ-cầm-nắm, mô tả bằng lời; trẻ khó tập trung: rút ngắn thời gian hoạt động, chia nhỏ bước.</t>
  </si>
  <si>
    <t xml:space="preserve">Trong giờ chơi khám phá, trẻ dừng tay, chăm chú nhìn khi thấy đồ vật/con vật lạ, có thể ra hiệu hỏi 'cái gì'.</t>
  </si>
  <si>
    <t xml:space="preserve">Trẻ chủ động hỏi, chỉ tay, chăm chú quan sát khi gặp điều mới trong sinh hoạt hay giờ khám phá.</t>
  </si>
  <si>
    <t xml:space="preserve">Nhìn/sờ → lắc/nếm → dùng nhiều giác quan khám phá. Khám phá bằng giác quan tăng dần.</t>
  </si>
  <si>
    <t xml:space="preserve">Video trẻ khám phá đồ vật bằng giác quan; ghi chép cách khám phá.</t>
  </si>
  <si>
    <t xml:space="preserve">Cho trẻ sờ, cầm, lắc, nghe, ngửi; góc khám phá; chơi nước, cát; hộp âm thanh.</t>
  </si>
  <si>
    <t xml:space="preserve">Ưu tiên vật thật; khích lệ dùng nhiều giác quan; đảm bảo an toàn.</t>
  </si>
  <si>
    <t xml:space="preserve">Trẻ sờ, gõ, đưa lên miệng để khám phá đặc điểm đồ vật trong giờ chơi tự do.</t>
  </si>
  <si>
    <t xml:space="preserve">Trẻ dùng nhiều giác quan (nhìn, sờ, nghe, ngửi) có chủ đích để tìm hiểu đối tượng gần gũi.</t>
  </si>
  <si>
    <t xml:space="preserve">Nhìn cô làm → bắt chước → lặp lại nhiều lần. Học qua bắt chước tăng dần.</t>
  </si>
  <si>
    <t xml:space="preserve">Video trẻ bắt chước, lặp lại hành động; ghi chép số lần lặp.</t>
  </si>
  <si>
    <t xml:space="preserve">Cô làm mẫu lắc, gõ, mở; trẻ bắt chước, lặp lại; khám phá đồ vật cùng cô.</t>
  </si>
  <si>
    <t xml:space="preserve">Cho trẻ lặp lại nhiều lần; dùng vật thật; khích lệ bắt chước.</t>
  </si>
  <si>
    <t xml:space="preserve">Trẻ bắt chước lặp lại hành động của cô nhiều lần khi khám phá đồ vật mới (lắc, gõ, thả).</t>
  </si>
  <si>
    <t xml:space="preserve">Trẻ tự lặp lại/thực hiện hành động khám phá theo gợi ý hoặc bắt chước bạn khi chơi.</t>
  </si>
  <si>
    <t xml:space="preserve">Tác động 1 cách → nhiều cách → thử nghiệm có chủ đích. Hành động thiết lập tương quan hình thành dần.</t>
  </si>
  <si>
    <t xml:space="preserve">Video trẻ thử nhiều cách với đồ vật; ghi chép cách thử nghiệm.</t>
  </si>
  <si>
    <t xml:space="preserve">Lắc tạo âm thanh; mở–đóng hộp; thả hình; xếp khối; chơi nước, cát nhiều cách.</t>
  </si>
  <si>
    <t xml:space="preserve">Chuẩn bị đồ vật, vật liệu mở; không áp đặt một cách chơi; đảm bảo an toàn.</t>
  </si>
  <si>
    <t xml:space="preserve">Khi cách làm cũ không hiệu quả (đẩy không được), trẻ thử cách khác một cách bản năng (kéo, lật).</t>
  </si>
  <si>
    <t xml:space="preserve">Trẻ chủ động thử nhiều cách khác nhau để khám phá đồ vật (lắc, xoay, gõ, thả) khi chơi.</t>
  </si>
  <si>
    <t xml:space="preserve">Nhận ra/chỉ → gọi tên → mô tả đặc điểm. Khả năng gọi tên–mô tả tăng dần.</t>
  </si>
  <si>
    <t xml:space="preserve">Video trẻ gọi tên, mô tả đối tượng; ghi chép vốn từ.</t>
  </si>
  <si>
    <t xml:space="preserve">NBTN đồ vật, con vật; trẻ chỉ, gọi tên; xem tranh và mô tả; trò chơi con gì đây.</t>
  </si>
  <si>
    <t xml:space="preserve">Khích lệ trẻ chỉ, gọi tên; chấp nhận cách phát âm; mở rộng mô tả dần.</t>
  </si>
  <si>
    <t xml:space="preserve">Trẻ gọi tên đồ vật/con vật quen thuộc và có thể nói thêm 1 đặc điểm ('to', 'đỏ') khi cô hỏi.</t>
  </si>
  <si>
    <t xml:space="preserve">Trẻ gọi tên và mô tả được đặc điểm nổi bật của người/vật/hiện tượng gần gũi khi trò chuyện.</t>
  </si>
  <si>
    <t xml:space="preserve">So sánh to–nhỏ → làm quen một–nhiều → nhận biết số lượng, kích thước. Khái niệm toán sơ khai tăng dần.</t>
  </si>
  <si>
    <t xml:space="preserve">Video trẻ chọn vật to–nhỏ, một–nhiều; ghi chép khả năng nhận biết.</t>
  </si>
  <si>
    <t xml:space="preserve">Chọn bóng to–nhỏ; xếp khối; làm quen một–nhiều qua thao tác; trò chơi tìm vật.</t>
  </si>
  <si>
    <t xml:space="preserve">Nhận biết qua thao tác trực tiếp với đồ vật; không ép trẻ đếm.</t>
  </si>
  <si>
    <t xml:space="preserve">Trẻ phân biệt to-nhỏ, một-nhiều khi chơi xếp hình hoặc chọn đồ vật theo yêu cầu của cô.</t>
  </si>
  <si>
    <t xml:space="preserve">Trẻ nhận biết được số lượng (một/nhiều) và kích thước (to/nhỏ) của đồ vật trong giờ chơi/học.</t>
  </si>
  <si>
    <t xml:space="preserve">Cầm vật tròn → thả hình → nhận biết hình tròn → gọi tên hình. Nhận biết hình tăng dần.</t>
  </si>
  <si>
    <t xml:space="preserve">Video trẻ thả hình, chọn vật tròn; ghi chép khả năng nhận biết hình.</t>
  </si>
  <si>
    <t xml:space="preserve">Thả hình; chọn vật tròn; ghép hình đơn giản; quan sát bánh xe, quả bóng.</t>
  </si>
  <si>
    <t xml:space="preserve">Cho trẻ thao tác trực tiếp với hình và vật dạng tròn; không ép gọi tên sớm.</t>
  </si>
  <si>
    <t xml:space="preserve">Trẻ làm quen hình tròn qua nhiều lần chơi (lăn bóng, xếp hình tròn) với sự hướng dẫn.</t>
  </si>
  <si>
    <t xml:space="preserve">Trẻ nhận biết và gọi tên được một số hình phẳng cơ bản (tròn, vuông) khi chơi ghép hình.</t>
  </si>
  <si>
    <t xml:space="preserve">Dùng đồ vật đúng công dụng → nói công dụng. Hành động công cụ và hiểu biết tăng dần.</t>
  </si>
  <si>
    <t xml:space="preserve">Video trẻ dùng đồ vật đúng cách; ghi chép trẻ nói công dụng.</t>
  </si>
  <si>
    <t xml:space="preserve">NBTN bát, thìa, cốc; thực hành dùng đúng cách; cho búp bê ăn; dùng bình tưới cây.</t>
  </si>
  <si>
    <t xml:space="preserve">Cô làm mẫu, hướng dẫn chú ý kết quả; cho trẻ lặp lại.</t>
  </si>
  <si>
    <t xml:space="preserve">Trẻ biết dùng đúng đồ vật theo công dụng qua hành động bắt chước (cầm thìa xúc, cầm lược chải).</t>
  </si>
  <si>
    <t xml:space="preserve">Trẻ nói được công dụng của đồ vật quen thuộc khi được hỏi ('thìa để xúc cơm').</t>
  </si>
  <si>
    <t xml:space="preserve">Chú ý bật–tắt → nhận ra mở–đóng, có–không → nhận biết thay đổi của sự vật. Nhận thức thay đổi tăng dần.</t>
  </si>
  <si>
    <t xml:space="preserve">Video trẻ phản ứng với thay đổi; ghi chép tình huống nhận biết.</t>
  </si>
  <si>
    <t xml:space="preserve">Tạo tình huống bật–tắt, mở–đóng, giấu–hiện; quan sát mây, nắng, hoa nở.</t>
  </si>
  <si>
    <t xml:space="preserve">Tạo tình huống thay đổi rõ rệt, lặp lại để trẻ nhận ra.</t>
  </si>
  <si>
    <t xml:space="preserve">Trẻ chú ý khi có thay đổi ở vật/người quen thuộc (mẹ đổi tóc, đồ chơi mất một phần).</t>
  </si>
  <si>
    <t xml:space="preserve">Trẻ nhận ra và nói được về sự thay đổi bên ngoài của người/vật/hiện tượng gần gũi.</t>
  </si>
  <si>
    <t xml:space="preserve">Chọn 1 trong 2 → phân biệt 2 đối tượng khác nhau rõ nét. Khả năng phân biệt tăng dần.</t>
  </si>
  <si>
    <t xml:space="preserve">Video trẻ chọn đúng đồ vật; ghi chép khả năng phân biệt.</t>
  </si>
  <si>
    <t xml:space="preserve">NBTN phân biệt búp bê–bóng, gà–cá; chọn theo cô; ghép cặp tranh đơn giản.</t>
  </si>
  <si>
    <t xml:space="preserve">Dùng đồ vật khác nhau rõ nét; khích lệ chọn đúng theo yêu cầu.</t>
  </si>
  <si>
    <t xml:space="preserve">Trẻ chọn đúng 1 trong 2 đồ vật khi cô yêu cầu ('lấy quả bóng, không phải khối gỗ').</t>
  </si>
  <si>
    <t xml:space="preserve">Trẻ tự phân biệt được hai đối tượng khác nhau rõ rệt khi chơi so sánh, phân loại.</t>
  </si>
  <si>
    <t xml:space="preserve">Bắt chước bỏ vào rổ → bỏ vật cùng loại → phân loại theo đặc điểm. Khả năng phân loại tăng dần.</t>
  </si>
  <si>
    <t xml:space="preserve">Video trẻ phân loại đồ vật; sản phẩm phân loại; ghi chép.</t>
  </si>
  <si>
    <t xml:space="preserve">Bỏ bóng với bóng, khối với khối theo cô; chọn con vật cùng nhóm; trò chơi tìm nhóm.</t>
  </si>
  <si>
    <t xml:space="preserve">Tăng tình huống phân loại đơn giản qua bắt chước; mở rộng tiêu chí dần.</t>
  </si>
  <si>
    <t xml:space="preserve">Trẻ chọn vật cùng nhóm khi cô làm mẫu và hướng dẫn (xếp các khối màu đỏ vào rổ đỏ).</t>
  </si>
  <si>
    <t xml:space="preserve">Trẻ tự phân loại đồ vật theo một đặc điểm chung (màu sắc, hình dạng) trong giờ chơi.</t>
  </si>
  <si>
    <t xml:space="preserve">Bỏ vào–lấy ra → làm quen trong–ngoài, trên–dưới → xác định vị trí. Khái niệm không gian tăng dần.</t>
  </si>
  <si>
    <t xml:space="preserve">Video trẻ đặt vật theo vị trí; ghi chép khả năng xác định vị trí.</t>
  </si>
  <si>
    <t xml:space="preserve">Bỏ đồ vào–lấy ra khỏi hộp; đặt vật lên giá; trò chơi 'ở đâu'.</t>
  </si>
  <si>
    <t xml:space="preserve">Lồng ghép trong–ngoài, trên–dưới khi chơi và dọn dẹp.</t>
  </si>
  <si>
    <t xml:space="preserve">Trẻ làm quen khái niệm trên-dưới, trong-ngoài qua trò chơi vận động đơn giản.</t>
  </si>
  <si>
    <t xml:space="preserve">Trẻ xác định được vị trí đồ vật so với bản thân (trên/dưới/trước/sau) khi chơi/sinh hoạt.</t>
  </si>
  <si>
    <t xml:space="preserve">Hành động quen có hỗ trợ → tự xử lý tình huống sinh hoạt đơn giản. Khả năng ứng xử tình huống tăng dần.</t>
  </si>
  <si>
    <t xml:space="preserve">Ghi chép tình huống trẻ tự xử lý; video sinh hoạt.</t>
  </si>
  <si>
    <t xml:space="preserve">Hướng dẫn lấy cốc khi khát; chăm sóc búp bê; xử lý tình huống qua tranh.</t>
  </si>
  <si>
    <t xml:space="preserve">Khích lệ trẻ tự làm trước khi nhờ giúp; tạo tình huống thực tế.</t>
  </si>
  <si>
    <t xml:space="preserve">Trẻ tự xử lý một số tình huống sinh hoạt đơn giản (đói thì chỉ vào đồ ăn, lạnh thì kéo áo).</t>
  </si>
  <si>
    <t xml:space="preserve">Trẻ thể hiện hành động phù hợp với tình huống sinh hoạt hằng ngày mà không cần nhắc.</t>
  </si>
  <si>
    <t xml:space="preserve">Thử lấy đồ → thử nhiều lần → điều chỉnh cách làm. Giải quyết vấn đề tăng dần.</t>
  </si>
  <si>
    <t xml:space="preserve">Video trẻ thử–sai–điều chỉnh; ghi chép cách giải quyết.</t>
  </si>
  <si>
    <t xml:space="preserve">Mở–đóng hộp; lấy đồ trong hộp; ghép hình; tìm đồ vật bị giấu.</t>
  </si>
  <si>
    <t xml:space="preserve">Không làm thay; cho trẻ thử–sai–lặp lại; hỗ trợ khi thực sự cần.</t>
  </si>
  <si>
    <t xml:space="preserve">Khi việc chưa thành công (xếp khối đổ), trẻ điều chỉnh cách làm với sự gợi ý của cô.</t>
  </si>
  <si>
    <t xml:space="preserve">Trẻ tự thử và điều chỉnh cách làm để giải quyết vấn đề đơn giản trong sinh hoạt/chơi.</t>
  </si>
  <si>
    <t xml:space="preserve">Dùng đồ vật đúng cách có hỗ trợ → hành động dựa trên hiểu biết. Vận dụng hiểu biết tăng dần.</t>
  </si>
  <si>
    <t xml:space="preserve">Video trẻ dùng đồ vật, hành động phù hợp; ghi chép.</t>
  </si>
  <si>
    <t xml:space="preserve">NBTN đồ dùng; dùng cốc, thìa, lăn bóng đúng cách; chăm sóc cây cùng cô.</t>
  </si>
  <si>
    <t xml:space="preserve">Cho trẻ tự dùng đồ vật quen thuộc theo khả năng với hỗ trợ.</t>
  </si>
  <si>
    <t xml:space="preserve">Trẻ hành động dựa trên hiểu biết đơn giản về đồ vật quen thuộc (biết cốc để uống, không phải để ném).</t>
  </si>
  <si>
    <t xml:space="preserve">Trẻ thực hiện hành động phù hợp dựa trên hiểu biết về người/đồ vật/môi trường trong tình huống quen thuộc.</t>
  </si>
  <si>
    <t xml:space="preserve">Tránh nguy hiểm khi nhắc → hành động an toàn tự giác. Ý thức an toàn tăng dần.</t>
  </si>
  <si>
    <t xml:space="preserve">Ghi chép tình huống trẻ hành động an toàn; quan sát phản ứng khi nhắc.</t>
  </si>
  <si>
    <t xml:space="preserve">NBTN nơi nguy hiểm; tập tránh, không ném đồ; chơi đúng cách; cất đồ sau chơi.</t>
  </si>
  <si>
    <t xml:space="preserve">Thường xuyên nhắc tránh nguy hiểm; phối hợp phụ huynh; luôn giám sát.</t>
  </si>
  <si>
    <t xml:space="preserve">Trẻ bắt đầu hành động an toàn hơn khi được nhắc liên tục (không với tay vào bếp nóng).</t>
  </si>
  <si>
    <t xml:space="preserve">Trẻ tự thực hiện hành động an toàn, biết bảo vệ bản thân và môi trường xung quanh khi chơi/sinh hoạt.</t>
  </si>
  <si>
    <t xml:space="preserve">Cười/chú ý → với tay → biểu lộ cảm xúc rõ trước vẻ đẹp. Cảm thụ thẩm mỹ tăng dần.</t>
  </si>
  <si>
    <t xml:space="preserve">Video trẻ phản ứng trước màu sắc, âm thanh, đồ vật đẹp; ghi chép biểu hiện cảm xúc.</t>
  </si>
  <si>
    <t xml:space="preserve">Cho trẻ ngắm đồ vật, tranh đẹp; nghe âm thanh dễ chịu; ngắm hoa, lá nhiều màu.</t>
  </si>
  <si>
    <t xml:space="preserve">Tạo môi trường đẹp, nhiều màu sắc, âm thanh dễ chịu cho trẻ.</t>
  </si>
  <si>
    <t xml:space="preserve">Trẻ khó khăn vận động tinh: dùng dụng cụ to, dễ cầm; mọi trẻ hòa nhập đều được khuyến khích tham gia theo cách riêng, không ép giống bạn.</t>
  </si>
  <si>
    <t xml:space="preserve">Trẻ cười, reo, hướng mắt về phía có màu sắc/âm thanh đẹp (hoa, nhạc vui) trong giờ chơi/dạo chơi.</t>
  </si>
  <si>
    <t xml:space="preserve">Trẻ thể hiện rõ cảm xúc (vỗ tay, nhún nhảy, reo hò) khi tiếp xúc với vẻ đẹp thiên nhiên, nghệ thuật trong sinh hoạt hằng ngày.</t>
  </si>
  <si>
    <t xml:space="preserve">Hóng nghe → đung đưa → thể hiện cảm nhận với bài hát. Cảm thụ âm nhạc tăng dần.</t>
  </si>
  <si>
    <t xml:space="preserve">Video trẻ nghe nhạc, đung đưa, vỗ tay; ghi chép phản ứng cảm xúc.</t>
  </si>
  <si>
    <t xml:space="preserve">Mở nhạc nhẹ; cho trẻ nghe bài hát ngắn; góc âm nhạc; nghe âm thanh tự nhiên.</t>
  </si>
  <si>
    <t xml:space="preserve">Cho trẻ nghe nhạc thường xuyên; chọn bài ngắn, vui, êm dịu.</t>
  </si>
  <si>
    <t xml:space="preserve">Trẻ vỗ tay, cười khi nghe bài hát quen thuộc trong giờ chơi/giờ ngủ.</t>
  </si>
  <si>
    <t xml:space="preserve">Trẻ lắng nghe và thể hiện cảm nhận riêng (thích/không thích, vui/dịu) với bài hát, bản nhạc khi nghe.</t>
  </si>
  <si>
    <t xml:space="preserve">Bập bẹ/ê a → hát theo vài tiếng → hát theo bài ngắn. Khả năng hát tăng dần.</t>
  </si>
  <si>
    <t xml:space="preserve">Ghi âm/video trẻ hát; ghi chép mức tham gia hát.</t>
  </si>
  <si>
    <t xml:space="preserve">Dạy hát bài rất ngắn; trẻ bập bẹ, ê a theo; góc âm nhạc.</t>
  </si>
  <si>
    <t xml:space="preserve">Hát đi hát lại bài ngắn; khích lệ trẻ phát tiếng theo giai điệu.</t>
  </si>
  <si>
    <t xml:space="preserve">Trẻ ê a hát theo vài tiếng cuối câu hát quen thuộc cùng cô.</t>
  </si>
  <si>
    <t xml:space="preserve">Trẻ hát theo được giai điệu/bài hát ngắn phù hợp lứa tuổi trong giờ âm nhạc/sinh hoạt.</t>
  </si>
  <si>
    <t xml:space="preserve">Vỗ tay → nhún/lắc lư → vận động theo nhạc. Vận động theo nhạc tăng dần.</t>
  </si>
  <si>
    <t xml:space="preserve">Video trẻ vận động theo nhạc; ghi chép động tác trẻ làm được.</t>
  </si>
  <si>
    <t xml:space="preserve">Vỗ tay, nhún, vẫy tay theo nhạc cùng cô; góc âm nhạc; vận động ngoài trời.</t>
  </si>
  <si>
    <t xml:space="preserve">Cô làm mẫu rõ ràng; khích lệ mọi trẻ vận động theo khả năng.</t>
  </si>
  <si>
    <t xml:space="preserve">Trẻ vỗ tay, lắc lư theo nhạc khi cô làm mẫu trong giờ vận động/âm nhạc.</t>
  </si>
  <si>
    <t xml:space="preserve">Trẻ tự vận động theo nhạc (vỗ tay, giậm chân, nhún nhảy) lặp lại nhiều động tác đơn giản.</t>
  </si>
  <si>
    <t xml:space="preserve">Cầm/lắc → gõ → tạo âm thanh theo nhịp. Sử dụng nhạc cụ tăng dần.</t>
  </si>
  <si>
    <t xml:space="preserve">Video trẻ chơi nhạc cụ; ghi chép dụng cụ trẻ sử dụng.</t>
  </si>
  <si>
    <t xml:space="preserve">Lắc, gõ xắc xô, trống nhỏ tạo âm thanh; góc âm nhạc.</t>
  </si>
  <si>
    <t xml:space="preserve">Chuẩn bị nhạc cụ an toàn, dễ cầm; khích lệ trẻ tạo âm thanh.</t>
  </si>
  <si>
    <t xml:space="preserve">Trẻ lắc, gõ thử dụng cụ âm nhạc đơn giản (trống lắc, xúc xắc) khi cô đưa.</t>
  </si>
  <si>
    <t xml:space="preserve">Trẻ chủ động tạo âm thanh bằng nhiều dụng cụ âm nhạc khác nhau khi chơi góc âm nhạc.</t>
  </si>
  <si>
    <t xml:space="preserve">Vỗ tay thích thú → làm theo cô → hứng thú biểu diễn. Hứng thú biểu diễn tăng dần.</t>
  </si>
  <si>
    <t xml:space="preserve">Video trẻ tham gia biểu diễn âm nhạc; ghi chép mức hứng thú.</t>
  </si>
  <si>
    <t xml:space="preserve">Hát, vận động cùng cô và bạn; văn nghệ cuối ngày; giao lưu âm nhạc nhóm nhỏ.</t>
  </si>
  <si>
    <t xml:space="preserve">Khích lệ mọi trẻ tham gia; động viên trẻ nhút nhát.</t>
  </si>
  <si>
    <t xml:space="preserve">Trẻ hào hứng nhìn, bắt chước khi cô biểu diễn hát múa cùng trẻ.</t>
  </si>
  <si>
    <t xml:space="preserve">Trẻ chủ động tham gia biểu diễn âm nhạc cùng cô/bạn, thể hiện rõ sự hứng thú, tự tin.</t>
  </si>
  <si>
    <t xml:space="preserve">Cầm/chạm → bóp/vò → dùng vật liệu tạo hình. Làm quen vật liệu tạo hình tăng dần.</t>
  </si>
  <si>
    <t xml:space="preserve">Ảnh/video trẻ chơi với vật liệu tạo hình; sản phẩm làm quen.</t>
  </si>
  <si>
    <t xml:space="preserve">Cầm, bóp, vò giấy, đất nặn mềm; chạm sáp màu; góc tạo hình; vật liệu thiên nhiên.</t>
  </si>
  <si>
    <t xml:space="preserve">Chuẩn bị vật liệu mềm, an toàn; cho trẻ làm quen đa dạng.</t>
  </si>
  <si>
    <t xml:space="preserve">Trẻ sờ, cầm thử vài vật liệu tạo hình đơn giản (đất nặn mềm, giấy màu) khi cô đưa.</t>
  </si>
  <si>
    <t xml:space="preserve">Trẻ chủ động chọn và sử dụng một số vật liệu tạo hình (bút màu, đất nặn, giấy) khi chơi góc nghệ thuật.</t>
  </si>
  <si>
    <t xml:space="preserve">Di màu → chấm/bóp → nhiều thao tác tạo hình. Kỹ năng tạo hình tăng dần.</t>
  </si>
  <si>
    <t xml:space="preserve">Sản phẩm tạo hình của trẻ theo thời gian; video thao tác.</t>
  </si>
  <si>
    <t xml:space="preserve">Di màu cả bàn tay; chấm màu; bóp, véo đất nặn; in dấu tay; vẽ phấn trên sân.</t>
  </si>
  <si>
    <t xml:space="preserve">Cho trẻ thao tác tự do; không yêu cầu giống mẫu.</t>
  </si>
  <si>
    <t xml:space="preserve">Trẻ di màu tự do, in dấu tay lên giấy khi được khuyến khích trong giờ chơi tạo hình.</t>
  </si>
  <si>
    <t xml:space="preserve">Trẻ thực hiện được thao tác tạo hình cơ bản (di màu, vò, nặn, xé dán) để tạo sản phẩm đơn giản, thích thú với quá trình làm.</t>
  </si>
  <si>
    <t xml:space="preserve">Nhìn → chỉ/phát tiếng → nói về sản phẩm của mình. Khả năng nói về sản phẩm tăng dần.</t>
  </si>
  <si>
    <t xml:space="preserve">Video trẻ xem, nói về sản phẩm; ảnh sản phẩm trưng bày.</t>
  </si>
  <si>
    <t xml:space="preserve">Cho trẻ xem vệt màu, sản phẩm của mình; trưng bày sản phẩm ở góc.</t>
  </si>
  <si>
    <t xml:space="preserve">Ghi nhận, khen sản phẩm của trẻ; tạo niềm vui khi tạo hình.</t>
  </si>
  <si>
    <t xml:space="preserve">Trẻ chỉ vào sản phẩm của mình, phát ra âm thanh vui khi cô khen 'đẹp quá'.</t>
  </si>
  <si>
    <t xml:space="preserve">Trẻ tự nói vài câu về sản phẩm tạo hình của mình theo cảm nhận riêng khi được hỏi.</t>
  </si>
  <si>
    <t xml:space="preserve">Bắt chước bế/ru → chơi chăm sóc búp bê → đóng vai người thân. Chơi đóng vai hình thành dần.</t>
  </si>
  <si>
    <t xml:space="preserve">Video trẻ chơi đóng vai chăm sóc búp bê; ghi chép hành động vai.</t>
  </si>
  <si>
    <t xml:space="preserve">Chơi thao tác vai: bế, ru, đút búp bê ăn; góc gia đình; chăm sóc búp bê cùng cô.</t>
  </si>
  <si>
    <t xml:space="preserve">Cô làm mẫu rõ ràng; khích lệ trẻ bắt chước hành động chăm sóc.</t>
  </si>
  <si>
    <t xml:space="preserve">Trẻ bắt chước 1-2 hành động chăm sóc đơn giản (bế búp bê, vỗ về) khi chơi đóng vai cùng cô.</t>
  </si>
  <si>
    <t xml:space="preserve">Trẻ tự đóng vai thể hiện hình ảnh người thân (mẹ bế con, cho ăn) trong giờ chơi phân vai.</t>
  </si>
  <si>
    <t xml:space="preserve">Bắt chước tiếng kêu → cử chỉ nhân vật → thể hiện lại cử chỉ, lời nói nhân vật. Mô phỏng kịch tính hình thành dần.</t>
  </si>
  <si>
    <t xml:space="preserve">Video trẻ bắt chước tiếng kêu, cử chỉ nhân vật; ghi chép.</t>
  </si>
  <si>
    <t xml:space="preserve">Bắt chước tiếng gà, mèo, vịt; chơi rối đơn giản; mô phỏng nhân vật khi cô kể.</t>
  </si>
  <si>
    <t xml:space="preserve">Dùng nhân vật quen thuộc; cô làm mẫu; khích lệ trẻ bắt chước.</t>
  </si>
  <si>
    <t xml:space="preserve">Trẻ bắt chước cử chỉ/âm thanh đơn giản của nhân vật quen thuộc theo cô (tiếng kêu con vật).</t>
  </si>
  <si>
    <t xml:space="preserve">Trẻ thể hiện lại lời nói/hành động của nhân vật trong câu chuyện/trò chơi đóng kịch ngắn.</t>
  </si>
  <si>
    <t xml:space="preserve">THƯ VIỆN SỐ CHI TIẾT — mỗi mã 8 dòng (8 mốc)</t>
  </si>
  <si>
    <t xml:space="preserve">Bật bộ lọc để tìm theo Lĩnh vực · Mã · Giai đoạn tuổi · Mốc</t>
  </si>
  <si>
    <t xml:space="preserve">Lĩnh vực</t>
  </si>
  <si>
    <t xml:space="preserve">Giai đoạn</t>
  </si>
  <si>
    <t xml:space="preserve">Mốc</t>
  </si>
  <si>
    <t xml:space="preserve">Biểu hiện quan sát (theo mốc)</t>
  </si>
  <si>
    <t xml:space="preserve">Hoạt động gợi ý (theo mốc)</t>
  </si>
  <si>
    <t xml:space="preserve">ĐC: trẻ chậm</t>
  </si>
  <si>
    <t xml:space="preserve">ĐC: trẻ tốt</t>
  </si>
  <si>
    <t xml:space="preserve">Thể chất</t>
  </si>
  <si>
    <t xml:space="preserve">12–24th</t>
  </si>
  <si>
    <t xml:space="preserve">12–15th</t>
  </si>
  <si>
    <t xml:space="preserve">Trong sinh hoạt/giờ chơi, trẻ hóng, mỉm cười khi cô vận động cùng (vẫy tay, vỗ tay).</t>
  </si>
  <si>
    <t xml:space="preserve">Luyện ở mức “hóng, mỉm cười khi cô vận động cùng (vẫy tay, vỗ tay)” thông qua: Thể dục sáng theo nhạc; trò chơi vận động ngắn; bắt chước dáng con vật; vận động theo bài hát vui.</t>
  </si>
  <si>
    <t xml:space="preserve">Trẻ chậm / cần hỗ trợ: lùi về mốc liền trước, tăng làm mẫu – cầm tay – lặp lại; trẻ nhút nhát: cho quan sát trước, cô làm cùng, khen sự cố gắng. Trẻ hiếu động: hướng vào vận động có mục tiêu.</t>
  </si>
  <si>
    <t xml:space="preserve">Trẻ phát triển tốt: giới thiệu mốc kế tiếp, tăng độ khó và mức tự lập, khích lệ trẻ tự làm và giúp bạn — không thúc ép vượt quá độ tuổi.</t>
  </si>
  <si>
    <t xml:space="preserve">Trong sinh hoạt/giờ chơi, trẻ bắt chước 1–2 động tác đơn giản khi cô làm mẫu và đỡ.</t>
  </si>
  <si>
    <t xml:space="preserve">Luyện ở mức “bắt chước 1–2 động tác đơn giản khi cô làm mẫu và đỡ” thông qua: Thể dục sáng theo nhạc; trò chơi vận động ngắn; bắt chước dáng con vật; vận động theo bài hát vui.</t>
  </si>
  <si>
    <t xml:space="preserve">(xem dòng 12–15)</t>
  </si>
  <si>
    <t xml:space="preserve">Trong sinh hoạt/giờ chơi, trẻ vận động cùng cô theo nhạc ngắn (nhún, vỗ tay) khi được khích lệ.</t>
  </si>
  <si>
    <t xml:space="preserve">Luyện ở mức “vận động cùng cô theo nhạc ngắn (nhún, vỗ tay) khi được khích lệ” thông qua: Thể dục sáng theo nhạc; trò chơi vận động ngắn; bắt chước dáng con vật; vận động theo bài hát vui.</t>
  </si>
  <si>
    <t xml:space="preserve">Trong sinh hoạt/giờ chơi, trẻ hào hứng tham gia 1 hoạt động vận động ngắn, ít cần khích lệ.</t>
  </si>
  <si>
    <t xml:space="preserve">Luyện ở mức “hào hứng tham gia 1 hoạt động vận động ngắn, ít cần khích lệ” thông qua: Thể dục sáng theo nhạc; trò chơi vận động ngắn; bắt chước dáng con vật; vận động theo bài hát vui.</t>
  </si>
  <si>
    <t xml:space="preserve">24–36th</t>
  </si>
  <si>
    <t xml:space="preserve">24–27th</t>
  </si>
  <si>
    <t xml:space="preserve">Trong sinh hoạt/giờ chơi, trẻ chủ động tham gia vận động cùng nhóm, tỏ rõ thích thú.</t>
  </si>
  <si>
    <t xml:space="preserve">Luyện ở mức “chủ động tham gia vận động cùng nhóm, tỏ rõ thích thú” thông qua: Thể dục sáng theo nhạc; trò chơi vận động ngắn; bắt chước dáng con vật; vận động theo bài hát vui.</t>
  </si>
  <si>
    <t xml:space="preserve">Trong sinh hoạt/giờ chơi, trẻ tham gia trọn hoạt động thể chất, vui vẻ làm theo cô.</t>
  </si>
  <si>
    <t xml:space="preserve">Luyện ở mức “tham gia trọn hoạt động thể chất, vui vẻ làm theo cô” thông qua: Thể dục sáng theo nhạc; trò chơi vận động ngắn; bắt chước dáng con vật; vận động theo bài hát vui.</t>
  </si>
  <si>
    <t xml:space="preserve">Trong sinh hoạt/giờ chơi, trẻ hăng hái tham gia nhiều dạng vận động khác nhau.</t>
  </si>
  <si>
    <t xml:space="preserve">Luyện ở mức “hăng hái tham gia nhiều dạng vận động khác nhau” thông qua: Thể dục sáng theo nhạc; trò chơi vận động ngắn; bắt chước dáng con vật; vận động theo bài hát vui.</t>
  </si>
  <si>
    <t xml:space="preserve">Mốc cuối 33–36 tháng (theo QĐ 388) — trẻ vui vẻ, hào hứng tham gia vào các hoạt động thể chất một cách ổn định, chủ động.</t>
  </si>
  <si>
    <t xml:space="preserve">Luyện ở mức “vui vẻ, hào hứng tham gia vào các hoạt động thể chất” thông qua: Thể dục sáng theo nhạc; trò chơi vận động ngắn; bắt chước dáng con vật; vận động theo bài hát vui.</t>
  </si>
  <si>
    <t xml:space="preserve">Trong sinh hoạt/giờ chơi, trẻ với/bò tới lấy đồ chơi ở gần khi cô khích lệ.</t>
  </si>
  <si>
    <t xml:space="preserve">Luyện ở mức “với/bò tới lấy đồ chơi ở gần khi cô khích lệ” thông qua: Bò tới lấy đồ chơi; mang vật đến đích; trò chơi 'ai làm xong'; nhiệm vụ vận động ngắn có kết thúc rõ.</t>
  </si>
  <si>
    <t xml:space="preserve">Trẻ chậm / cần hỗ trợ: lùi về mốc liền trước, tăng làm mẫu – cầm tay – lặp lại; khen sự cố gắng, không chỉ kết quả; điều chỉnh độ khó theo từng trẻ; cho lặp lại nhiều lần.</t>
  </si>
  <si>
    <t xml:space="preserve">Trong sinh hoạt/giờ chơi, trẻ cố thực hiện 1 vận động ngắn (bò tới đích) khi cô cầm tay.</t>
  </si>
  <si>
    <t xml:space="preserve">Luyện ở mức “cố thực hiện 1 vận động ngắn (bò tới đích) khi cô cầm tay” thông qua: Bò tới lấy đồ chơi; mang vật đến đích; trò chơi 'ai làm xong'; nhiệm vụ vận động ngắn có kết thúc rõ.</t>
  </si>
  <si>
    <t xml:space="preserve">Trong sinh hoạt/giờ chơi, trẻ làm hết 1 lượt vận động ngắn với sự làm mẫu của cô.</t>
  </si>
  <si>
    <t xml:space="preserve">Luyện ở mức “làm hết 1 lượt vận động ngắn với sự làm mẫu của cô” thông qua: Bò tới lấy đồ chơi; mang vật đến đích; trò chơi 'ai làm xong'; nhiệm vụ vận động ngắn có kết thúc rõ.</t>
  </si>
  <si>
    <t xml:space="preserve">Trong sinh hoạt/giờ chơi, trẻ cố hoàn thành nhiệm vụ vận động đơn giản, ít trợ giúp.</t>
  </si>
  <si>
    <t xml:space="preserve">Luyện ở mức “cố hoàn thành nhiệm vụ vận động đơn giản, ít trợ giúp” thông qua: Bò tới lấy đồ chơi; mang vật đến đích; trò chơi 'ai làm xong'; nhiệm vụ vận động ngắn có kết thúc rõ.</t>
  </si>
  <si>
    <t xml:space="preserve">Trong sinh hoạt/giờ chơi, trẻ hoàn thành nhiệm vụ vận động ngắn khi được nhắc.</t>
  </si>
  <si>
    <t xml:space="preserve">Luyện ở mức “hoàn thành nhiệm vụ vận động ngắn khi được nhắc” thông qua: Bò tới lấy đồ chơi; mang vật đến đích; trò chơi 'ai làm xong'; nhiệm vụ vận động ngắn có kết thúc rõ.</t>
  </si>
  <si>
    <t xml:space="preserve">Trong sinh hoạt/giờ chơi, trẻ tự cố gắng đến hết lượt, nhờ cô khi thật cần.</t>
  </si>
  <si>
    <t xml:space="preserve">Luyện ở mức “tự cố gắng đến hết lượt, nhờ cô khi thật cần” thông qua: Bò tới lấy đồ chơi; mang vật đến đích; trò chơi 'ai làm xong'; nhiệm vụ vận động ngắn có kết thúc rõ.</t>
  </si>
  <si>
    <t xml:space="preserve">Trong sinh hoạt/giờ chơi, trẻ hoàn thành nhiệm vụ vận động vừa sức, kiên trì hơn.</t>
  </si>
  <si>
    <t xml:space="preserve">Luyện ở mức “hoàn thành nhiệm vụ vận động vừa sức, kiên trì hơn” thông qua: Bò tới lấy đồ chơi; mang vật đến đích; trò chơi 'ai làm xong'; nhiệm vụ vận động ngắn có kết thúc rõ.</t>
  </si>
  <si>
    <t xml:space="preserve">Mốc cuối 33–36 tháng (theo QĐ 388) — trẻ cố gắng hoàn thành nhiệm vụ thể chất với sự hỗ trợ một cách ổn định, chủ động.</t>
  </si>
  <si>
    <t xml:space="preserve">Luyện ở mức “cố gắng hoàn thành nhiệm vụ thể chất với sự hỗ trợ” thông qua: Bò tới lấy đồ chơi; mang vật đến đích; trò chơi 'ai làm xong'; nhiệm vụ vận động ngắn có kết thúc rõ.</t>
  </si>
  <si>
    <t xml:space="preserve">Trong sinh hoạt/giờ chơi, trẻ quen được trấn an khi ăn/ngủ ở lớp với cô quen thuộc.</t>
  </si>
  <si>
    <t xml:space="preserve">Luyện ở mức “quen được trấn an khi ăn/ngủ ở lớp với cô quen thuộc” thông qua: Làm quen lịch sinh hoạt; chơi chăm sóc búp bê; tập cất đồ đúng nơi; chuyển phòng có cô đi cùng.</t>
  </si>
  <si>
    <t xml:space="preserve">Trẻ chậm / cần hỗ trợ: lùi về mốc liền trước, tăng làm mẫu – cầm tay – lặp lại; trẻ khó thích nghi: giữ một cô ổn định, vật quen thuộc; phối hợp phụ huynh thống nhất nề nếp.</t>
  </si>
  <si>
    <t xml:space="preserve">Trong sinh hoạt/giờ chơi, trẻ theo nề nếp ăn–ngủ–vệ sinh quen thuộc trong lớp.</t>
  </si>
  <si>
    <t xml:space="preserve">Luyện ở mức “theo nề nếp ăn–ngủ–vệ sinh quen thuộc trong lớp” thông qua: Làm quen lịch sinh hoạt; chơi chăm sóc búp bê; tập cất đồ đúng nơi; chuyển phòng có cô đi cùng.</t>
  </si>
  <si>
    <t xml:space="preserve">Trong sinh hoạt/giờ chơi, trẻ giữ nề nếp khi đổi vị trí trong lớp, có cô hỗ trợ.</t>
  </si>
  <si>
    <t xml:space="preserve">Luyện ở mức “giữ nề nếp khi đổi vị trí trong lớp, có cô hỗ trợ” thông qua: Làm quen lịch sinh hoạt; chơi chăm sóc búp bê; tập cất đồ đúng nơi; chuyển phòng có cô đi cùng.</t>
  </si>
  <si>
    <t xml:space="preserve">Trong sinh hoạt/giờ chơi, trẻ bước đầu duy trì nề nếp khi đổi phòng/người chăm sóc.</t>
  </si>
  <si>
    <t xml:space="preserve">Luyện ở mức “bước đầu duy trì nề nếp khi đổi phòng/người chăm sóc” thông qua: Làm quen lịch sinh hoạt; chơi chăm sóc búp bê; tập cất đồ đúng nơi; chuyển phòng có cô đi cùng.</t>
  </si>
  <si>
    <t xml:space="preserve">Trong sinh hoạt/giờ chơi, trẻ duy trì ăn–ngủ–vệ sinh khi thay đổi địa điểm, ít bỡ ngỡ.</t>
  </si>
  <si>
    <t xml:space="preserve">Luyện ở mức “duy trì ăn–ngủ–vệ sinh khi thay đổi địa điểm, ít bỡ ngỡ” thông qua: Làm quen lịch sinh hoạt; chơi chăm sóc búp bê; tập cất đồ đúng nơi; chuyển phòng có cô đi cùng.</t>
  </si>
  <si>
    <t xml:space="preserve">Trong sinh hoạt/giờ chơi, trẻ tự giữ nề nếp khi đổi môi trường, cần nhắc ít.</t>
  </si>
  <si>
    <t xml:space="preserve">Luyện ở mức “tự giữ nề nếp khi đổi môi trường, cần nhắc ít” thông qua: Làm quen lịch sinh hoạt; chơi chăm sóc búp bê; tập cất đồ đúng nơi; chuyển phòng có cô đi cùng.</t>
  </si>
  <si>
    <t xml:space="preserve">Trong sinh hoạt/giờ chơi, trẻ ổn định nề nếp ở môi trường mới khá nhanh.</t>
  </si>
  <si>
    <t xml:space="preserve">Luyện ở mức “ổn định nề nếp ở môi trường mới khá nhanh” thông qua: Làm quen lịch sinh hoạt; chơi chăm sóc búp bê; tập cất đồ đúng nơi; chuyển phòng có cô đi cùng.</t>
  </si>
  <si>
    <t xml:space="preserve">Mốc cuối 33–36 tháng (theo QĐ 388) — trẻ duy trì thực hiện các hoạt động ăn, ngủ, vệ sinh khi thay đổi môi trường một cách ổn định, chủ động.</t>
  </si>
  <si>
    <t xml:space="preserve">Luyện ở mức “duy trì thực hiện các hoạt động ăn, ngủ, vệ sinh khi thay đổi môi trường” thông qua: Làm quen lịch sinh hoạt; chơi chăm sóc búp bê; tập cất đồ đúng nơi; chuyển phòng có cô đi cùng.</t>
  </si>
  <si>
    <t xml:space="preserve">Trong sinh hoạt/giờ chơi, trẻ chấp nhận vận động ở vị trí mới khi có cô bên cạnh.</t>
  </si>
  <si>
    <t xml:space="preserve">Luyện ở mức “chấp nhận vận động ở vị trí mới khi có cô bên cạnh” thông qua: Tập ở nhiều vị trí; luân phiên góc vận động; trò chơi vận động nhóm nhỏ thay đổi bạn.</t>
  </si>
  <si>
    <t xml:space="preserve">Trẻ chậm / cần hỗ trợ: lùi về mốc liền trước, tăng làm mẫu – cầm tay – lặp lại; trẻ ngại thay đổi: báo trước, cho thời gian quan sát; ghi nhận tiến bộ nhỏ.</t>
  </si>
  <si>
    <t xml:space="preserve">Trong sinh hoạt/giờ chơi, trẻ vận động cạnh bạn khác ở chỗ quen với cô.</t>
  </si>
  <si>
    <t xml:space="preserve">Luyện ở mức “vận động cạnh bạn khác ở chỗ quen với cô” thông qua: Tập ở nhiều vị trí; luân phiên góc vận động; trò chơi vận động nhóm nhỏ thay đổi bạn.</t>
  </si>
  <si>
    <t xml:space="preserve">Trong sinh hoạt/giờ chơi, trẻ tham gia vận động khi đổi vị trí (trong lớp/ngoài hiên).</t>
  </si>
  <si>
    <t xml:space="preserve">Luyện ở mức “tham gia vận động khi đổi vị trí (trong lớp/ngoài hiên)” thông qua: Tập ở nhiều vị trí; luân phiên góc vận động; trò chơi vận động nhóm nhỏ thay đổi bạn.</t>
  </si>
  <si>
    <t xml:space="preserve">Trong sinh hoạt/giờ chơi, trẻ vận động cạnh nhóm bạn khác có cô đi cùng.</t>
  </si>
  <si>
    <t xml:space="preserve">Luyện ở mức “vận động cạnh nhóm bạn khác có cô đi cùng” thông qua: Tập ở nhiều vị trí; luân phiên góc vận động; trò chơi vận động nhóm nhỏ thay đổi bạn.</t>
  </si>
  <si>
    <t xml:space="preserve">Trong sinh hoạt/giờ chơi, trẻ tham gia vận động khi đổi địa điểm/bạn, ít bỡ ngỡ.</t>
  </si>
  <si>
    <t xml:space="preserve">Luyện ở mức “tham gia vận động khi đổi địa điểm/bạn, ít bỡ ngỡ” thông qua: Tập ở nhiều vị trí; luân phiên góc vận động; trò chơi vận động nhóm nhỏ thay đổi bạn.</t>
  </si>
  <si>
    <t xml:space="preserve">Trong sinh hoạt/giờ chơi, trẻ tham gia vận động với nhóm bạn thay đổi, mạnh dạn hơn.</t>
  </si>
  <si>
    <t xml:space="preserve">Luyện ở mức “tham gia vận động với nhóm bạn thay đổi, mạnh dạn hơn” thông qua: Tập ở nhiều vị trí; luân phiên góc vận động; trò chơi vận động nhóm nhỏ thay đổi bạn.</t>
  </si>
  <si>
    <t xml:space="preserve">Trong sinh hoạt/giờ chơi, trẻ thích ứng tốt khi đổi địa điểm, yêu cầu, bạn cùng chơi.</t>
  </si>
  <si>
    <t xml:space="preserve">Luyện ở mức “thích ứng tốt khi đổi địa điểm, yêu cầu, bạn cùng chơi” thông qua: Tập ở nhiều vị trí; luân phiên góc vận động; trò chơi vận động nhóm nhỏ thay đổi bạn.</t>
  </si>
  <si>
    <t xml:space="preserve">Mốc cuối 33–36 tháng (theo QĐ 388) — trẻ tham gia hoạt động thể chất khi có sự thay đổi về địa điểm, yêu cầu hoạt động, bạn cùng chơi một cách ổn định, chủ động.</t>
  </si>
  <si>
    <t xml:space="preserve">Luyện ở mức “tham gia hoạt động thể chất khi có sự thay đổi về địa điểm, yêu cầu hoạt động, bạn cùng chơi” thông qua: Tập ở nhiều vị trí; luân phiên góc vận động; trò chơi vận động nhóm nhỏ thay đổi bạn.</t>
  </si>
  <si>
    <t xml:space="preserve">Trong sinh hoạt/giờ chơi, trẻ men/đi có vịn vài bước; bò vững.</t>
  </si>
  <si>
    <t xml:space="preserve">Luyện ở mức “men/đi có vịn vài bước; bò vững” thông qua: Đi men, đi trong đường hẹp; bò qua gối/vật; lên bậc thấp có vịn; bật qua vạch; trò chơi vận động.</t>
  </si>
  <si>
    <t xml:space="preserve">Trẻ chậm / cần hỗ trợ: lùi về mốc liền trước, tăng làm mẫu – cầm tay – lặp lại; đảm bảo an toàn; khích lệ theo khả năng; quan sát thăng bằng; trẻ chậm vận động cho luyện thêm có hỗ trợ.</t>
  </si>
  <si>
    <t xml:space="preserve">Trong sinh hoạt/giờ chơi, trẻ đi vài bước không vịn; bò qua vật thấp.</t>
  </si>
  <si>
    <t xml:space="preserve">Luyện ở mức “đi vài bước không vịn; bò qua vật thấp” thông qua: Đi men, đi trong đường hẹp; bò qua gối/vật; lên bậc thấp có vịn; bật qua vạch; trò chơi vận động.</t>
  </si>
  <si>
    <t xml:space="preserve">Trong sinh hoạt/giờ chơi, trẻ đi vững hơn; bước lên bậc thấp có bám tay.</t>
  </si>
  <si>
    <t xml:space="preserve">Luyện ở mức “đi vững hơn; bước lên bậc thấp có bám tay” thông qua: Đi men, đi trong đường hẹp; bò qua gối/vật; lên bậc thấp có vịn; bật qua vạch; trò chơi vận động.</t>
  </si>
  <si>
    <t xml:space="preserve">Trong sinh hoạt/giờ chơi, trẻ đi/men ổn định; bò qua vật, lên bậc có vịn.</t>
  </si>
  <si>
    <t xml:space="preserve">Luyện ở mức “đi/men ổn định; bò qua vật, lên bậc có vịn” thông qua: Đi men, đi trong đường hẹp; bò qua gối/vật; lên bậc thấp có vịn; bật qua vạch; trò chơi vận động.</t>
  </si>
  <si>
    <t xml:space="preserve">Trong sinh hoạt/giờ chơi, trẻ đi, chạy chậm có kiểm soát; bò; bật tại chỗ nhẹ.</t>
  </si>
  <si>
    <t xml:space="preserve">Luyện ở mức “đi, chạy chậm có kiểm soát; bò; bật tại chỗ nhẹ” thông qua: Đi men, đi trong đường hẹp; bò qua gối/vật; lên bậc thấp có vịn; bật qua vạch; trò chơi vận động.</t>
  </si>
  <si>
    <t xml:space="preserve">Trong sinh hoạt/giờ chơi, trẻ đi/chạy đổi hướng; lên xuống cầu thang có vịn; bật về trước.</t>
  </si>
  <si>
    <t xml:space="preserve">Luyện ở mức “đi/chạy đổi hướng; lên xuống cầu thang có vịn; bật về trước” thông qua: Đi men, đi trong đường hẹp; bò qua gối/vật; lên bậc thấp có vịn; bật qua vạch; trò chơi vận động.</t>
  </si>
  <si>
    <t xml:space="preserve">Trong sinh hoạt/giờ chơi, trẻ đi/chạy giữ thăng bằng khá tốt; bật tiến tốt hơn.</t>
  </si>
  <si>
    <t xml:space="preserve">Luyện ở mức “đi/chạy giữ thăng bằng khá tốt; bật tiến tốt hơn” thông qua: Đi men, đi trong đường hẹp; bò qua gối/vật; lên bậc thấp có vịn; bật qua vạch; trò chơi vận động.</t>
  </si>
  <si>
    <t xml:space="preserve">Mốc cuối 33–36 tháng (theo QĐ 388) — trẻ tự thực hiện các vận động di chuyển với yêu cầu khác nhau, bước đầu kiểm soát vận động, giữ thăng bằng khi đi/chạy thay đổi hướng - tốc độ - địa hình; bò; đi lên xuống cầu thang có bám vịn; bật tiến về phía trước bằng hai chân một cách ổn định, chủ động.</t>
  </si>
  <si>
    <t xml:space="preserve">Luyện ở mức “tự thực hiện các vận động di chuyển với yêu cầu khác nhau, bước đầu kiểm soát vận động, giữ thăng bằng khi đi/chạy thay đổi hướng - tốc độ - địa hình; bò; đi lên xuống cầu thang có bám vịn; bật tiến về phía trước bằng hai chân” thông qua: Đi men, đi trong đường hẹp; bò qua gối/vật; lên bậc thấp có vịn; bật qua vạch; trò chơi vận động.</t>
  </si>
  <si>
    <t xml:space="preserve">Trong sinh hoạt/giờ chơi, trẻ cầm, thả, lăn đồ vật to cùng cô.</t>
  </si>
  <si>
    <t xml:space="preserve">Luyện ở mức “cầm, thả, lăn đồ vật to cùng cô” thông qua: Lăn/thả bóng; tung bóng hai tay; ném vào đích to; bò qua gối/vật mềm; mang vật về đích.</t>
  </si>
  <si>
    <t xml:space="preserve">Trẻ chậm / cần hỗ trợ: lùi về mốc liền trước, tăng làm mẫu – cầm tay – lặp lại; hỗ trợ phối hợp tay–mắt; đảm bảo an toàn dụng cụ; điều chỉnh khoảng cách theo trẻ.</t>
  </si>
  <si>
    <t xml:space="preserve">Trong sinh hoạt/giờ chơi, trẻ lăn bóng cùng cô; mang vật khi đi.</t>
  </si>
  <si>
    <t xml:space="preserve">Luyện ở mức “lăn bóng cùng cô; mang vật khi đi” thông qua: Lăn/thả bóng; tung bóng hai tay; ném vào đích to; bò qua gối/vật mềm; mang vật về đích.</t>
  </si>
  <si>
    <t xml:space="preserve">Trong sinh hoạt/giờ chơi, trẻ lăn/thả bóng; bò qua vật mềm có hỗ trợ.</t>
  </si>
  <si>
    <t xml:space="preserve">Luyện ở mức “lăn/thả bóng; bò qua vật mềm có hỗ trợ” thông qua: Lăn/thả bóng; tung bóng hai tay; ném vào đích to; bò qua gối/vật mềm; mang vật về đích.</t>
  </si>
  <si>
    <t xml:space="preserve">Trong sinh hoạt/giờ chơi, trẻ tung bóng hai tay gần; bò qua vật cản thấp.</t>
  </si>
  <si>
    <t xml:space="preserve">Luyện ở mức “tung bóng hai tay gần; bò qua vật cản thấp” thông qua: Lăn/thả bóng; tung bóng hai tay; ném vào đích to; bò qua gối/vật mềm; mang vật về đích.</t>
  </si>
  <si>
    <t xml:space="preserve">Trong sinh hoạt/giờ chơi, trẻ tung–bắt bóng với cô (gần); ném về trước.</t>
  </si>
  <si>
    <t xml:space="preserve">Luyện ở mức “tung–bắt bóng với cô (gần); ném về trước” thông qua: Lăn/thả bóng; tung bóng hai tay; ném vào đích to; bò qua gối/vật mềm; mang vật về đích.</t>
  </si>
  <si>
    <t xml:space="preserve">Trong sinh hoạt/giờ chơi, trẻ ném về trước; tung–bắt bóng với cô; bò qua chướng ngại.</t>
  </si>
  <si>
    <t xml:space="preserve">Luyện ở mức “ném về trước; tung–bắt bóng với cô; bò qua chướng ngại” thông qua: Lăn/thả bóng; tung bóng hai tay; ném vào đích to; bò qua gối/vật mềm; mang vật về đích.</t>
  </si>
  <si>
    <t xml:space="preserve">Trong sinh hoạt/giờ chơi, trẻ ném xa hơn; tung–bắt khá hơn; trèo lên–xuống mô hình có hỗ trợ.</t>
  </si>
  <si>
    <t xml:space="preserve">Luyện ở mức “ném xa hơn; tung–bắt khá hơn; trèo lên–xuống mô hình có hỗ trợ” thông qua: Lăn/thả bóng; tung bóng hai tay; ném vào đích to; bò qua gối/vật mềm; mang vật về đích.</t>
  </si>
  <si>
    <t xml:space="preserve">Mốc cuối 33–36 tháng (theo QĐ 388) — trẻ thực hiện vận động với dụng cụ/thiết bị, vận động cùng giáo viên: di chuyển có mang vật; ném xa bằng một tay; ném trúng đích ngang tối thiểu 1,2m; tung - bắt bóng với giáo viên; đá trúng quả bóng đứng yên; trèo lên - xuống mô hình có hỗ trợ; bò qua chướng ngại vật một cách ổn định, chủ động.</t>
  </si>
  <si>
    <t xml:space="preserve">Luyện ở mức “thực hiện vận động với dụng cụ/thiết bị, vận động cùng giáo viên: di chuyển có mang vật; ném xa bằng một tay; ném trúng đích ngang tối thiểu 1,2m; tung - bắt bóng với giáo viên; đá trúng quả bóng đứng yên; trèo lên - xuống mô hình có hỗ trợ; bò qua chướng ngại vật” thông qua: Lăn/thả bóng; tung bóng hai tay; ném vào đích to; bò qua gối/vật mềm; mang vật về đích.</t>
  </si>
  <si>
    <t xml:space="preserve">Trong sinh hoạt/giờ chơi, trẻ ngồi xuống – đứng lên có điểm tựa.</t>
  </si>
  <si>
    <t xml:space="preserve">Luyện ở mức “ngồi xuống – đứng lên có điểm tựa” thông qua: Trò chơi đứng – ngồi; nhún theo nhạc; bật qua vạch; đứng co chân (cây cao cỏ thấp).</t>
  </si>
  <si>
    <t xml:space="preserve">Trẻ chậm / cần hỗ trợ: lùi về mốc liền trước, tăng làm mẫu – cầm tay – lặp lại; hỗ trợ tư thế; động viên mạnh dạn; đảm bảo an toàn; trẻ yếu cơ cho luyện nhẹ nhàng.</t>
  </si>
  <si>
    <t xml:space="preserve">Trong sinh hoạt/giờ chơi, trẻ đứng vịn vững; nhún tại chỗ theo cô.</t>
  </si>
  <si>
    <t xml:space="preserve">Luyện ở mức “đứng vịn vững; nhún tại chỗ theo cô” thông qua: Trò chơi đứng – ngồi; nhún theo nhạc; bật qua vạch; đứng co chân (cây cao cỏ thấp).</t>
  </si>
  <si>
    <t xml:space="preserve">Trong sinh hoạt/giờ chơi, trẻ ngồi xổm – đứng lên ít cần tựa.</t>
  </si>
  <si>
    <t xml:space="preserve">Luyện ở mức “ngồi xổm – đứng lên ít cần tựa” thông qua: Trò chơi đứng – ngồi; nhún theo nhạc; bật qua vạch; đứng co chân (cây cao cỏ thấp).</t>
  </si>
  <si>
    <t xml:space="preserve">Trong sinh hoạt/giờ chơi, trẻ ngồi xổm – đứng lên không cần tựa; tập nhún.</t>
  </si>
  <si>
    <t xml:space="preserve">Luyện ở mức “ngồi xổm – đứng lên không cần tựa; tập nhún” thông qua: Trò chơi đứng – ngồi; nhún theo nhạc; bật qua vạch; đứng co chân (cây cao cỏ thấp).</t>
  </si>
  <si>
    <t xml:space="preserve">Trong sinh hoạt/giờ chơi, trẻ bật nhẹ tại chỗ; giữ thăng bằng ngắn.</t>
  </si>
  <si>
    <t xml:space="preserve">Luyện ở mức “bật nhẹ tại chỗ; giữ thăng bằng ngắn” thông qua: Trò chơi đứng – ngồi; nhún theo nhạc; bật qua vạch; đứng co chân (cây cao cỏ thấp).</t>
  </si>
  <si>
    <t xml:space="preserve">Trong sinh hoạt/giờ chơi, trẻ bật nhảy tại chỗ; đứng co chân giữ thăng bằng (giây ngắn).</t>
  </si>
  <si>
    <t xml:space="preserve">Luyện ở mức “bật nhảy tại chỗ; đứng co chân giữ thăng bằng (giây ngắn)” thông qua: Trò chơi đứng – ngồi; nhún theo nhạc; bật qua vạch; đứng co chân (cây cao cỏ thấp).</t>
  </si>
  <si>
    <t xml:space="preserve">Trong sinh hoạt/giờ chơi, trẻ giữ thăng bằng 1 chân khá hơn; bật tại chỗ tốt.</t>
  </si>
  <si>
    <t xml:space="preserve">Luyện ở mức “giữ thăng bằng 1 chân khá hơn; bật tại chỗ tốt” thông qua: Trò chơi đứng – ngồi; nhún theo nhạc; bật qua vạch; đứng co chân (cây cao cỏ thấp).</t>
  </si>
  <si>
    <t xml:space="preserve">Mốc cuối 33–36 tháng (theo QĐ 388) — trẻ thực hiện vận động tại chỗ, bước đầu giữ thăng bằng tĩnh: ngồi xổm thoải mái và đứng lên không cần hỗ trợ, giữ thăng bằng trên 1 chân; bật nhảy tại chỗ một cách ổn định, chủ động.</t>
  </si>
  <si>
    <t xml:space="preserve">Luyện ở mức “thực hiện vận động tại chỗ, bước đầu giữ thăng bằng tĩnh: ngồi xổm thoải mái và đứng lên không cần hỗ trợ, giữ thăng bằng trên 1 chân; bật nhảy tại chỗ” thông qua: Trò chơi đứng – ngồi; nhún theo nhạc; bật qua vạch; đứng co chân (cây cao cỏ thấp).</t>
  </si>
  <si>
    <t xml:space="preserve">Trong sinh hoạt/giờ chơi, trẻ tự đi đến chỗ ngồi theo cô.</t>
  </si>
  <si>
    <t xml:space="preserve">Luyện ở mức “tự đi đến chỗ ngồi theo cô” thông qua: Đi vào lớp, cất đồ; di chuyển giữa các góc; mang đồ chơi; xếp hàng nhẹ nhàng.</t>
  </si>
  <si>
    <t xml:space="preserve">Trẻ chậm / cần hỗ trợ: lùi về mốc liền trước, tăng làm mẫu – cầm tay – lặp lại; tạo cơ hội tự di chuyển an toàn; trẻ chậm cho thêm thời gian, không thúc ép.</t>
  </si>
  <si>
    <t xml:space="preserve">Trong sinh hoạt/giờ chơi, trẻ đi lấy đồ vật quen thuộc theo yêu cầu.</t>
  </si>
  <si>
    <t xml:space="preserve">Luyện ở mức “đi lấy đồ vật quen thuộc theo yêu cầu” thông qua: Đi vào lớp, cất đồ; di chuyển giữa các góc; mang đồ chơi; xếp hàng nhẹ nhàng.</t>
  </si>
  <si>
    <t xml:space="preserve">Trong sinh hoạt/giờ chơi, trẻ di chuyển theo cô khi chuyển hoạt động.</t>
  </si>
  <si>
    <t xml:space="preserve">Luyện ở mức “di chuyển theo cô khi chuyển hoạt động” thông qua: Đi vào lớp, cất đồ; di chuyển giữa các góc; mang đồ chơi; xếp hàng nhẹ nhàng.</t>
  </si>
  <si>
    <t xml:space="preserve">Trong sinh hoạt/giờ chơi, trẻ đi/bò vận dụng trong vài hoạt động trong ngày.</t>
  </si>
  <si>
    <t xml:space="preserve">Luyện ở mức “đi/bò vận dụng trong vài hoạt động trong ngày” thông qua: Đi vào lớp, cất đồ; di chuyển giữa các góc; mang đồ chơi; xếp hàng nhẹ nhàng.</t>
  </si>
  <si>
    <t xml:space="preserve">Trong sinh hoạt/giờ chơi, trẻ vận dụng đi/chạy/bò trong sinh hoạt, ít cần nhắc.</t>
  </si>
  <si>
    <t xml:space="preserve">Luyện ở mức “vận dụng đi/chạy/bò trong sinh hoạt, ít cần nhắc” thông qua: Đi vào lớp, cất đồ; di chuyển giữa các góc; mang đồ chơi; xếp hàng nhẹ nhàng.</t>
  </si>
  <si>
    <t xml:space="preserve">Trong sinh hoạt/giờ chơi, trẻ tự di chuyển hợp lý giữa các hoạt động.</t>
  </si>
  <si>
    <t xml:space="preserve">Luyện ở mức “tự di chuyển hợp lý giữa các hoạt động” thông qua: Đi vào lớp, cất đồ; di chuyển giữa các góc; mang đồ chơi; xếp hàng nhẹ nhàng.</t>
  </si>
  <si>
    <t xml:space="preserve">Trong sinh hoạt/giờ chơi, trẻ vận dụng vận động thô linh hoạt trong sinh hoạt.</t>
  </si>
  <si>
    <t xml:space="preserve">Luyện ở mức “vận dụng vận động thô linh hoạt trong sinh hoạt” thông qua: Đi vào lớp, cất đồ; di chuyển giữa các góc; mang đồ chơi; xếp hàng nhẹ nhàng.</t>
  </si>
  <si>
    <t xml:space="preserve">Mốc cuối 33–36 tháng (theo QĐ 388) — trẻ thực hiện các vận động thô phù hợp trong một số hoạt động sinh hoạt hằng ngày một cách ổn định, chủ động.</t>
  </si>
  <si>
    <t xml:space="preserve">Luyện ở mức “thực hiện các vận động thô phù hợp trong một số hoạt động sinh hoạt hằng ngày” thông qua: Đi vào lớp, cất đồ; di chuyển giữa các góc; mang đồ chơi; xếp hàng nhẹ nhàng.</t>
  </si>
  <si>
    <t xml:space="preserve">Trong sinh hoạt/giờ chơi, trẻ cầm, đập, thả đồ vật to.</t>
  </si>
  <si>
    <t xml:space="preserve">Luyện ở mức “cầm, đập, thả đồ vật to” thông qua: Xếp khối, thả hình, tháo–lắp; xâu hạt to; di màu; nhào đất nặn; lật sách dày.</t>
  </si>
  <si>
    <t xml:space="preserve">Trẻ chậm / cần hỗ trợ: lùi về mốc liền trước, tăng làm mẫu – cầm tay – lặp lại; học liệu to, an toàn; quan sát phối hợp tay–mắt; trẻ vụng cho dụng cụ lớn, dễ cầm.</t>
  </si>
  <si>
    <t xml:space="preserve">Trong sinh hoạt/giờ chơi, trẻ xếp chồng 2 khối; bốc nhả đồ vật.</t>
  </si>
  <si>
    <t xml:space="preserve">Luyện ở mức “xếp chồng 2 khối; bốc nhả đồ vật” thông qua: Xếp khối, thả hình, tháo–lắp; xâu hạt to; di màu; nhào đất nặn; lật sách dày.</t>
  </si>
  <si>
    <t xml:space="preserve">Trong sinh hoạt/giờ chơi, trẻ xếp chồng 2–3 khối; tháo–lắp; di màu cả bàn tay.</t>
  </si>
  <si>
    <t xml:space="preserve">Luyện ở mức “xếp chồng 2–3 khối; tháo–lắp; di màu cả bàn tay” thông qua: Xếp khối, thả hình, tháo–lắp; xâu hạt to; di màu; nhào đất nặn; lật sách dày.</t>
  </si>
  <si>
    <t xml:space="preserve">Trong sinh hoạt/giờ chơi, trẻ xếp 3–4 khối; xâu hạt to; lật trang sách dày.</t>
  </si>
  <si>
    <t xml:space="preserve">Luyện ở mức “xếp 3–4 khối; xâu hạt to; lật trang sách dày” thông qua: Xếp khối, thả hình, tháo–lắp; xâu hạt to; di màu; nhào đất nặn; lật sách dày.</t>
  </si>
  <si>
    <t xml:space="preserve">Trong sinh hoạt/giờ chơi, trẻ xếp 4–5 khối; vẽ nét nguệch ngoạc; xâu hạt.</t>
  </si>
  <si>
    <t xml:space="preserve">Luyện ở mức “xếp 4–5 khối; vẽ nét nguệch ngoạc; xâu hạt” thông qua: Xếp khối, thả hình, tháo–lắp; xâu hạt to; di màu; nhào đất nặn; lật sách dày.</t>
  </si>
  <si>
    <t xml:space="preserve">Trong sinh hoạt/giờ chơi, trẻ vẽ nét xổ/xiên; xếp chồng khối; tháo lắp xếp lồng.</t>
  </si>
  <si>
    <t xml:space="preserve">Luyện ở mức “vẽ nét xổ/xiên; xếp chồng khối; tháo lắp xếp lồng” thông qua: Xếp khối, thả hình, tháo–lắp; xâu hạt to; di màu; nhào đất nặn; lật sách dày.</t>
  </si>
  <si>
    <t xml:space="preserve">Trong sinh hoạt/giờ chơi, trẻ vẽ đường xoáy/nét; xếp ≥5 khối; nhào nặn; xâu thành thạo hơn.</t>
  </si>
  <si>
    <t xml:space="preserve">Luyện ở mức “vẽ đường xoáy/nét; xếp ≥5 khối; nhào nặn; xâu thành thạo hơn” thông qua: Xếp khối, thả hình, tháo–lắp; xâu hạt to; di màu; nhào đất nặn; lật sách dày.</t>
  </si>
  <si>
    <t xml:space="preserve">Mốc cuối 33–36 tháng (theo QĐ 388) — trẻ thao tác với đồ vật, vật liệu bước đầu thể hiện khả năng kiểm soát, điều chỉnh vận động cơ nhỏ bàn tay, ngón tay, phối hợp tay – mắt: sử dụng dụng cụ quen thuộc; vẽ các đường xoáy tròn, nét xổ thẳng, nét xiên; xếp chồng được tối thiểu 5 │khối trụ; tháo lắp, xếp lồng; nhào nặn; xâu; lật giở trang sách một cách ổn định, chủ động.</t>
  </si>
  <si>
    <t xml:space="preserve">Luyện ở mức “thao tác với đồ vật, vật liệu bước đầu thể hiện khả năng kiểm soát, điều chỉnh vận động cơ nhỏ bàn tay, ngón tay, phối hợp tay – mắt: sử dụng dụng cụ quen thuộc; vẽ các đường xoáy tròn, nét xổ thẳng, nét xiên; xếp chồng được tối thiểu 5 │khối trụ; tháo lắp, xếp lồng; nhào nặn; xâu; lật giở trang sách” thông qua: Xếp khối, thả hình, tháo–lắp; xâu hạt to; di màu; nhào đất nặn; lật sách dày.</t>
  </si>
  <si>
    <t xml:space="preserve">Trong sinh hoạt/giờ chơi, trẻ cầm cốc/thìa (cô đỡ); bốc nhón thức ăn.</t>
  </si>
  <si>
    <t xml:space="preserve">Luyện ở mức “cầm cốc/thìa (cô đỡ); bốc nhón thức ăn” thông qua: Tập cầm thìa, cốc; cho búp bê ăn; lấy–cất đồ dùng; mở–đóng hộp.</t>
  </si>
  <si>
    <t xml:space="preserve">Trẻ chậm / cần hỗ trợ: lùi về mốc liền trước, tăng làm mẫu – cầm tay – lặp lại; khích lệ tự phục vụ theo khả năng; phối hợp phụ huynh; trẻ yếu tay cho dụng cụ phù hợp.</t>
  </si>
  <si>
    <t xml:space="preserve">Trong sinh hoạt/giờ chơi, trẻ tập tự cầm thìa vài thìa; cầm khăn.</t>
  </si>
  <si>
    <t xml:space="preserve">Luyện ở mức “tập tự cầm thìa vài thìa; cầm khăn” thông qua: Tập cầm thìa, cốc; cho búp bê ăn; lấy–cất đồ dùng; mở–đóng hộp.</t>
  </si>
  <si>
    <t xml:space="preserve">Trong sinh hoạt/giờ chơi, trẻ tự xúc vài thìa; cầm cốc uống có hỗ trợ.</t>
  </si>
  <si>
    <t xml:space="preserve">Luyện ở mức “tự xúc vài thìa; cầm cốc uống có hỗ trợ” thông qua: Tập cầm thìa, cốc; cho búp bê ăn; lấy–cất đồ dùng; mở–đóng hộp.</t>
  </si>
  <si>
    <t xml:space="preserve">Trong sinh hoạt/giờ chơi, trẻ tự xúc khá hơn; lấy–cất đồ vật nhỏ.</t>
  </si>
  <si>
    <t xml:space="preserve">Luyện ở mức “tự xúc khá hơn; lấy–cất đồ vật nhỏ” thông qua: Tập cầm thìa, cốc; cho búp bê ăn; lấy–cất đồ dùng; mở–đóng hộp.</t>
  </si>
  <si>
    <t xml:space="preserve">Trong sinh hoạt/giờ chơi, trẻ tự xúc ăn; cầm cốc uống; mở–đóng hộp to.</t>
  </si>
  <si>
    <t xml:space="preserve">Luyện ở mức “tự xúc ăn; cầm cốc uống; mở–đóng hộp to” thông qua: Tập cầm thìa, cốc; cho búp bê ăn; lấy–cất đồ dùng; mở–đóng hộp.</t>
  </si>
  <si>
    <t xml:space="preserve">Trong sinh hoạt/giờ chơi, trẻ tự phục vụ ăn uống; cởi/đội mũ với hỗ trợ.</t>
  </si>
  <si>
    <t xml:space="preserve">Luyện ở mức “tự phục vụ ăn uống; cởi/đội mũ với hỗ trợ” thông qua: Tập cầm thìa, cốc; cho búp bê ăn; lấy–cất đồ dùng; mở–đóng hộp.</t>
  </si>
  <si>
    <t xml:space="preserve">Trong sinh hoạt/giờ chơi, trẻ tự xúc ăn gọn; cất đồ dùng cá nhân khá tốt.</t>
  </si>
  <si>
    <t xml:space="preserve">Luyện ở mức “tự xúc ăn gọn; cất đồ dùng cá nhân khá tốt” thông qua: Tập cầm thìa, cốc; cho búp bê ăn; lấy–cất đồ dùng; mở–đóng hộp.</t>
  </si>
  <si>
    <t xml:space="preserve">Mốc cuối 33–36 tháng (theo QĐ 388) — trẻ sử dụng được vận động tinh phù hợp trong một sổ hoạt động sinh hoạt hằng ngày một cách ổn định, chủ động.</t>
  </si>
  <si>
    <t xml:space="preserve">Luyện ở mức “sử dụng được vận động tinh phù hợp trong một sổ hoạt động sinh hoạt hằng ngày” thông qua: Tập cầm thìa, cốc; cho búp bê ăn; lấy–cất đồ dùng; mở–đóng hộp.</t>
  </si>
  <si>
    <t xml:space="preserve">Trong sinh hoạt/giờ chơi, trẻ nhìn/với lấy món ăn, quả quen thuộc.</t>
  </si>
  <si>
    <t xml:space="preserve">Luyện ở mức “nhìn/với lấy món ăn, quả quen thuộc” thông qua: NBTN thực phẩm, quả; chơi bán hàng; phân loại rau–củ–quả; trò chuyện món ăn trong ngày.</t>
  </si>
  <si>
    <t xml:space="preserve">Trẻ chậm / cần hỗ trợ: lùi về mốc liền trước, tăng làm mẫu – cầm tay – lặp lại; cho làm quen nhiều thực phẩm; phối hợp phụ huynh; không ép trẻ ăn/gọi tên.</t>
  </si>
  <si>
    <t xml:space="preserve">Trong sinh hoạt/giờ chơi, trẻ chỉ vào quả/món ăn khi cô gọi tên.</t>
  </si>
  <si>
    <t xml:space="preserve">Luyện ở mức “chỉ vào quả/món ăn khi cô gọi tên” thông qua: NBTN thực phẩm, quả; chơi bán hàng; phân loại rau–củ–quả; trò chuyện món ăn trong ngày.</t>
  </si>
  <si>
    <t xml:space="preserve">Trong sinh hoạt/giờ chơi, trẻ nhận ra, chỉ 1–2 thực phẩm quen thuộc.</t>
  </si>
  <si>
    <t xml:space="preserve">Luyện ở mức “nhận ra, chỉ 1–2 thực phẩm quen thuộc” thông qua: NBTN thực phẩm, quả; chơi bán hàng; phân loại rau–củ–quả; trò chuyện món ăn trong ngày.</t>
  </si>
  <si>
    <t xml:space="preserve">Trong sinh hoạt/giờ chơi, trẻ gọi tên (theo cách của trẻ) vài thực phẩm.</t>
  </si>
  <si>
    <t xml:space="preserve">Luyện ở mức “gọi tên (theo cách của trẻ) vài thực phẩm” thông qua: NBTN thực phẩm, quả; chơi bán hàng; phân loại rau–củ–quả; trò chuyện món ăn trong ngày.</t>
  </si>
  <si>
    <t xml:space="preserve">Trong sinh hoạt/giờ chơi, trẻ nói tên vài thực phẩm, món ăn thông thường.</t>
  </si>
  <si>
    <t xml:space="preserve">Luyện ở mức “nói tên vài thực phẩm, món ăn thông thường” thông qua: NBTN thực phẩm, quả; chơi bán hàng; phân loại rau–củ–quả; trò chuyện món ăn trong ngày.</t>
  </si>
  <si>
    <t xml:space="preserve">Trong sinh hoạt/giờ chơi, trẻ nói tên nhiều thực phẩm; phân biệt món quen.</t>
  </si>
  <si>
    <t xml:space="preserve">Luyện ở mức “nói tên nhiều thực phẩm; phân biệt món quen” thông qua: NBTN thực phẩm, quả; chơi bán hàng; phân loại rau–củ–quả; trò chuyện món ăn trong ngày.</t>
  </si>
  <si>
    <t xml:space="preserve">Trong sinh hoạt/giờ chơi, trẻ nói tên món ăn; bước đầu biết thực phẩm không nên ăn.</t>
  </si>
  <si>
    <t xml:space="preserve">Luyện ở mức “nói tên món ăn; bước đầu biết thực phẩm không nên ăn” thông qua: NBTN thực phẩm, quả; chơi bán hàng; phân loại rau–củ–quả; trò chuyện món ăn trong ngày.</t>
  </si>
  <si>
    <t xml:space="preserve">Mốc cuối 33–36 tháng (theo QĐ 388) — trẻ thể hiện một số nhận biết về dinh dưỡng: nói được tên một số thực phẩm, món ăn thông thường và một số thực phẩm không nên ăn một cách ổn định, chủ động.</t>
  </si>
  <si>
    <t xml:space="preserve">Luyện ở mức “thể hiện một số nhận biết về dinh dưỡng: nói được tên một số thực phẩm, món ăn thông thường và một số thực phẩm không nên ăn” thông qua: NBTN thực phẩm, quả; chơi bán hàng; phân loại rau–củ–quả; trò chuyện món ăn trong ngày.</t>
  </si>
  <si>
    <t xml:space="preserve">Trong sinh hoạt/giờ chơi, trẻ làm quen ăn cháo/cơm nát; ngồi ăn có hỗ trợ.</t>
  </si>
  <si>
    <t xml:space="preserve">Luyện ở mức “làm quen ăn cháo/cơm nát; ngồi ăn có hỗ trợ” thông qua: Tập tự xúc; cho búp bê ăn; bày bát–thìa; nêu gương bé ăn ngoan.</t>
  </si>
  <si>
    <t xml:space="preserve">Trẻ chậm / cần hỗ trợ: lùi về mốc liền trước, tăng làm mẫu – cầm tay – lặp lại; không ép ăn; theo dõi đa dạng thực phẩm; phối hợp phụ huynh; trẻ biếng ăn xử lý nhẹ nhàng.</t>
  </si>
  <si>
    <t xml:space="preserve">Trong sinh hoạt/giờ chơi, trẻ ăn đa dạng hơn; tập tự xúc vài thìa.</t>
  </si>
  <si>
    <t xml:space="preserve">Luyện ở mức “ăn đa dạng hơn; tập tự xúc vài thìa” thông qua: Tập tự xúc; cho búp bê ăn; bày bát–thìa; nêu gương bé ăn ngoan.</t>
  </si>
  <si>
    <t xml:space="preserve">Trong sinh hoạt/giờ chơi, trẻ tự xúc khá; ngồi ăn cùng nhóm.</t>
  </si>
  <si>
    <t xml:space="preserve">Luyện ở mức “tự xúc khá; ngồi ăn cùng nhóm” thông qua: Tập tự xúc; cho búp bê ăn; bày bát–thìa; nêu gương bé ăn ngoan.</t>
  </si>
  <si>
    <t xml:space="preserve">Trong sinh hoạt/giờ chơi, trẻ tự xúc phần lớn; ăn đa dạng thực phẩm.</t>
  </si>
  <si>
    <t xml:space="preserve">Luyện ở mức “tự xúc phần lớn; ăn đa dạng thực phẩm” thông qua: Tập tự xúc; cho búp bê ăn; bày bát–thìa; nêu gương bé ăn ngoan.</t>
  </si>
  <si>
    <t xml:space="preserve">Trong sinh hoạt/giờ chơi, trẻ tự xúc ăn; ăn gần hết suất; ít rơi vãi.</t>
  </si>
  <si>
    <t xml:space="preserve">Luyện ở mức “tự xúc ăn; ăn gần hết suất; ít rơi vãi” thông qua: Tập tự xúc; cho búp bê ăn; bày bát–thìa; nêu gương bé ăn ngoan.</t>
  </si>
  <si>
    <t xml:space="preserve">Trong sinh hoạt/giờ chơi, trẻ ăn đa dạng; tự xúc gọn; ăn hết suất.</t>
  </si>
  <si>
    <t xml:space="preserve">Luyện ở mức “ăn đa dạng; tự xúc gọn; ăn hết suất” thông qua: Tập tự xúc; cho búp bê ăn; bày bát–thìa; nêu gương bé ăn ngoan.</t>
  </si>
  <si>
    <t xml:space="preserve">Trong sinh hoạt/giờ chơi, trẻ tự phục vụ ăn tốt; uống nước đúng cách.</t>
  </si>
  <si>
    <t xml:space="preserve">Luyện ở mức “tự phục vụ ăn tốt; uống nước đúng cách” thông qua: Tập tự xúc; cho búp bê ăn; bày bát–thìa; nêu gương bé ăn ngoan.</t>
  </si>
  <si>
    <t xml:space="preserve">Mốc cuối 33–36 tháng (theo QĐ 388) — trẻ thực hành hành vi tốt trong ăn uống hằng ngày: ăn được đa dạng các loại thực phẩm, món ăn; tự xúc ăn và ăn hết khẩu phần một cách ổn định, chủ động.</t>
  </si>
  <si>
    <t xml:space="preserve">Luyện ở mức “thực hành hành vi tốt trong ăn uống hằng ngày: ăn được đa dạng các loại thực phẩm, món ăn; tự xúc ăn và ăn hết khẩu phần” thông qua: Tập tự xúc; cho búp bê ăn; bày bát–thìa; nêu gương bé ăn ngoan.</t>
  </si>
  <si>
    <t xml:space="preserve">Trong sinh hoạt/giờ chơi, trẻ theo nề nếp ngủ–ăn–vệ sinh quen thuộc của lớp.</t>
  </si>
  <si>
    <t xml:space="preserve">Luyện ở mức “theo nề nếp ngủ–ăn–vệ sinh quen thuộc của lớp” thông qua: Lập lịch sinh hoạt; chơi tắm/ru búp bê; NBTN bé sạch sẽ; rèn ngủ đúng giờ.</t>
  </si>
  <si>
    <t xml:space="preserve">Trẻ chậm / cần hỗ trợ: lùi về mốc liền trước, tăng làm mẫu – cầm tay – lặp lại; phối hợp phụ huynh duy trì tại nhà; trẻ chậm nề nếp cho thời gian, nhắc nhẹ nhàng.</t>
  </si>
  <si>
    <t xml:space="preserve">Trong sinh hoạt/giờ chơi, trẻ chấp nhận rửa tay, lau mặt khi cô làm.</t>
  </si>
  <si>
    <t xml:space="preserve">Luyện ở mức “chấp nhận rửa tay, lau mặt khi cô làm” thông qua: Lập lịch sinh hoạt; chơi tắm/ru búp bê; NBTN bé sạch sẽ; rèn ngủ đúng giờ.</t>
  </si>
  <si>
    <t xml:space="preserve">Trong sinh hoạt/giờ chơi, trẻ đi vệ sinh đúng nơi có nhắc; ngủ đúng giờ.</t>
  </si>
  <si>
    <t xml:space="preserve">Luyện ở mức “đi vệ sinh đúng nơi có nhắc; ngủ đúng giờ” thông qua: Lập lịch sinh hoạt; chơi tắm/ru búp bê; NBTN bé sạch sẽ; rèn ngủ đúng giờ.</t>
  </si>
  <si>
    <t xml:space="preserve">Trong sinh hoạt/giờ chơi, trẻ giữ vệ sinh cơ thể với hỗ trợ; nề nếp ổn định.</t>
  </si>
  <si>
    <t xml:space="preserve">Luyện ở mức “giữ vệ sinh cơ thể với hỗ trợ; nề nếp ổn định” thông qua: Lập lịch sinh hoạt; chơi tắm/ru búp bê; NBTN bé sạch sẽ; rèn ngủ đúng giờ.</t>
  </si>
  <si>
    <t xml:space="preserve">Trong sinh hoạt/giờ chơi, trẻ có thói quen ngủ đúng giờ, đi vệ sinh đúng nơi.</t>
  </si>
  <si>
    <t xml:space="preserve">Luyện ở mức “có thói quen ngủ đúng giờ, đi vệ sinh đúng nơi” thông qua: Lập lịch sinh hoạt; chơi tắm/ru búp bê; NBTN bé sạch sẽ; rèn ngủ đúng giờ.</t>
  </si>
  <si>
    <t xml:space="preserve">Trong sinh hoạt/giờ chơi, trẻ tự giữ vệ sinh cơ thể với nhắc ít.</t>
  </si>
  <si>
    <t xml:space="preserve">Luyện ở mức “tự giữ vệ sinh cơ thể với nhắc ít” thông qua: Lập lịch sinh hoạt; chơi tắm/ru búp bê; NBTN bé sạch sẽ; rèn ngủ đúng giờ.</t>
  </si>
  <si>
    <t xml:space="preserve">Trong sinh hoạt/giờ chơi, trẻ thói quen sinh hoạt khá ổn định, ít cần nhắc.</t>
  </si>
  <si>
    <t xml:space="preserve">Luyện ở mức “thói quen sinh hoạt khá ổn định, ít cần nhắc” thông qua: Lập lịch sinh hoạt; chơi tắm/ru búp bê; NBTN bé sạch sẽ; rèn ngủ đúng giờ.</t>
  </si>
  <si>
    <t xml:space="preserve">Mốc cuối 33–36 tháng (theo QĐ 388) — trẻ có một số thói quen tốt trong sinh hoạt: ngủ đúng giờ, đi vệ sinh đúng nơi quy định, giữ vệ sinh cơ thể một cách ổn định, chủ động.</t>
  </si>
  <si>
    <t xml:space="preserve">Luyện ở mức “có một số thói quen tốt trong sinh hoạt: ngủ đúng giờ, đi vệ sinh đúng nơi quy định, giữ vệ sinh cơ thể” thông qua: Lập lịch sinh hoạt; chơi tắm/ru búp bê; NBTN bé sạch sẽ; rèn ngủ đúng giờ.</t>
  </si>
  <si>
    <t xml:space="preserve">Trong sinh hoạt/giờ chơi, trẻ hợp tác đưa tay khi cô rửa tay.</t>
  </si>
  <si>
    <t xml:space="preserve">Luyện ở mức “hợp tác đưa tay khi cô rửa tay” thông qua: Cô làm cho trẻ rửa tay/lau mặt; lau mặt cho búp bê; xem tranh các bước vệ sinh.</t>
  </si>
  <si>
    <t xml:space="preserve">Trẻ chậm / cần hỗ trợ: lùi về mốc liền trước, tăng làm mẫu – cầm tay – lặp lại; thực hành nhiều lần có hỗ trợ; trẻ chưa hợp tác cho làm quen từ từ.</t>
  </si>
  <si>
    <t xml:space="preserve">Trong sinh hoạt/giờ chơi, trẻ ngẩng mặt, hợp tác khi cô lau mặt, lau mũi.</t>
  </si>
  <si>
    <t xml:space="preserve">Luyện ở mức “ngẩng mặt, hợp tác khi cô lau mặt, lau mũi” thông qua: Cô làm cho trẻ rửa tay/lau mặt; lau mặt cho búp bê; xem tranh các bước vệ sinh.</t>
  </si>
  <si>
    <t xml:space="preserve">Trong sinh hoạt/giờ chơi, trẻ hợp tác trọn thao tác vệ sinh cô làm.</t>
  </si>
  <si>
    <t xml:space="preserve">Luyện ở mức “hợp tác trọn thao tác vệ sinh cô làm” thông qua: Cô làm cho trẻ rửa tay/lau mặt; lau mặt cho búp bê; xem tranh các bước vệ sinh.</t>
  </si>
  <si>
    <t xml:space="preserve">Trong sinh hoạt/giờ chơi, trẻ bắt chước vài thao tác rửa tay cùng cô.</t>
  </si>
  <si>
    <t xml:space="preserve">Luyện ở mức “bắt chước vài thao tác rửa tay cùng cô” thông qua: Cô làm cho trẻ rửa tay/lau mặt; lau mặt cho búp bê; xem tranh các bước vệ sinh.</t>
  </si>
  <si>
    <t xml:space="preserve">Trong sinh hoạt/giờ chơi, trẻ tự rửa tay, lau mặt vài bước với hỗ trợ.</t>
  </si>
  <si>
    <t xml:space="preserve">Luyện ở mức “tự rửa tay, lau mặt vài bước với hỗ trợ” thông qua: Cô làm cho trẻ rửa tay/lau mặt; lau mặt cho búp bê; xem tranh các bước vệ sinh.</t>
  </si>
  <si>
    <t xml:space="preserve">Trong sinh hoạt/giờ chơi, trẻ thực hiện các bước vệ sinh cá nhân với nhắc.</t>
  </si>
  <si>
    <t xml:space="preserve">Luyện ở mức “thực hiện các bước vệ sinh cá nhân với nhắc” thông qua: Cô làm cho trẻ rửa tay/lau mặt; lau mặt cho búp bê; xem tranh các bước vệ sinh.</t>
  </si>
  <si>
    <t xml:space="preserve">Trong sinh hoạt/giờ chơi, trẻ tự rửa tay, lau mặt khá tốt; che miệng khi ho (tập).</t>
  </si>
  <si>
    <t xml:space="preserve">Luyện ở mức “tự rửa tay, lau mặt khá tốt; che miệng khi ho (tập)” thông qua: Cô làm cho trẻ rửa tay/lau mặt; lau mặt cho búp bê; xem tranh các bước vệ sinh.</t>
  </si>
  <si>
    <t xml:space="preserve">Mốc cuối 33–36 tháng (theo QĐ 388) — trẻ thực hiện được một sổ hành vi vệ sinh cá nhân: đi vệ sinh đúng cách; che miệng khi ho, hắt hơi; súc miệng; lau mặt, mũi, rửa tay với sự giúp đỡ của │ người lớn một cách ổn định, chủ động.</t>
  </si>
  <si>
    <t xml:space="preserve">Luyện ở mức “thực hiện được một sổ hành vi vệ sinh cá nhân: đi vệ sinh đúng cách; che miệng khi ho, hắt hơi; súc miệng; lau mặt, mũi, rửa tay với sự giúp đỡ của │ người lớn” thông qua: Cô làm cho trẻ rửa tay/lau mặt; lau mặt cho búp bê; xem tranh các bước vệ sinh.</t>
  </si>
  <si>
    <t xml:space="preserve">Trong sinh hoạt/giờ chơi, trẻ nhận ra khăn, cốc của mình khi cô chỉ.</t>
  </si>
  <si>
    <t xml:space="preserve">Luyện ở mức “nhận ra khăn, cốc của mình khi cô chỉ” thông qua: Nhận biết khăn, cốc của bé; dùng đồ dùng cho búp bê; thực hành lấy–cất.</t>
  </si>
  <si>
    <t xml:space="preserve">Trẻ chậm / cần hỗ trợ: lùi về mốc liền trước, tăng làm mẫu – cầm tay – lặp lại; gắn ký hiệu/ảnh trẻ lên đồ dùng; khích lệ dùng đúng, không dùng chung.</t>
  </si>
  <si>
    <t xml:space="preserve">Trong sinh hoạt/giờ chơi, trẻ cầm được khăn, cốc của mình có hỗ trợ.</t>
  </si>
  <si>
    <t xml:space="preserve">Luyện ở mức “cầm được khăn, cốc của mình có hỗ trợ” thông qua: Nhận biết khăn, cốc của bé; dùng đồ dùng cho búp bê; thực hành lấy–cất.</t>
  </si>
  <si>
    <t xml:space="preserve">Trong sinh hoạt/giờ chơi, trẻ dùng khăn, cốc của mình với hỗ trợ.</t>
  </si>
  <si>
    <t xml:space="preserve">Luyện ở mức “dùng khăn, cốc của mình với hỗ trợ” thông qua: Nhận biết khăn, cốc của bé; dùng đồ dùng cho búp bê; thực hành lấy–cất.</t>
  </si>
  <si>
    <t xml:space="preserve">Trong sinh hoạt/giờ chơi, trẻ lấy–cất khăn, cốc đúng nơi có nhắc.</t>
  </si>
  <si>
    <t xml:space="preserve">Luyện ở mức “lấy–cất khăn, cốc đúng nơi có nhắc” thông qua: Nhận biết khăn, cốc của bé; dùng đồ dùng cho búp bê; thực hành lấy–cất.</t>
  </si>
  <si>
    <t xml:space="preserve">Trong sinh hoạt/giờ chơi, trẻ sử dụng khăn, cốc, đồ dùng vệ sinh phù hợp.</t>
  </si>
  <si>
    <t xml:space="preserve">Luyện ở mức “sử dụng khăn, cốc, đồ dùng vệ sinh phù hợp” thông qua: Nhận biết khăn, cốc của bé; dùng đồ dùng cho búp bê; thực hành lấy–cất.</t>
  </si>
  <si>
    <t xml:space="preserve">Trong sinh hoạt/giờ chơi, trẻ dùng đúng đồ dùng cá nhân, ít nhầm.</t>
  </si>
  <si>
    <t xml:space="preserve">Luyện ở mức “dùng đúng đồ dùng cá nhân, ít nhầm” thông qua: Nhận biết khăn, cốc của bé; dùng đồ dùng cho búp bê; thực hành lấy–cất.</t>
  </si>
  <si>
    <t xml:space="preserve">Trong sinh hoạt/giờ chơi, trẻ sử dụng đồ dùng vệ sinh khá thành thạo.</t>
  </si>
  <si>
    <t xml:space="preserve">Luyện ở mức “sử dụng đồ dùng vệ sinh khá thành thạo” thông qua: Nhận biết khăn, cốc của bé; dùng đồ dùng cho búp bê; thực hành lấy–cất.</t>
  </si>
  <si>
    <t xml:space="preserve">Mốc cuối 33–36 tháng (theo QĐ 388) — trẻ sử dụng được một số đồ dùng, dụng cụ vệ sinh phù hợp với sự hỗ trợ của │ người lớn một cách ổn định, chủ động.</t>
  </si>
  <si>
    <t xml:space="preserve">Luyện ở mức “sử dụng được một số đồ dùng, dụng cụ vệ sinh phù hợp với sự hỗ trợ của │ người lớn” thông qua: Nhận biết khăn, cốc của bé; dùng đồ dùng cho búp bê; thực hành lấy–cất.</t>
  </si>
  <si>
    <t xml:space="preserve">Trong sinh hoạt/giờ chơi, trẻ khóc/ra hiệu khi đau, khó chịu để cô biết.</t>
  </si>
  <si>
    <t xml:space="preserve">Luyện ở mức “khóc/ra hiệu khi đau, khó chịu để cô biết” thông qua: NBTN trang phục theo thời tiết; chơi bác sĩ; mặc áo cho búp bê; trò chuyện nóng–lạnh.</t>
  </si>
  <si>
    <t xml:space="preserve">Trẻ chậm / cần hỗ trợ: lùi về mốc liền trước, tăng làm mẫu – cầm tay – lặp lại; phối hợp phụ huynh chuẩn bị trang phục; quan sát biểu hiện sức khỏe trẻ thường xuyên.</t>
  </si>
  <si>
    <t xml:space="preserve">Trong sinh hoạt/giờ chơi, trẻ kéo tay/chỉ chỗ đau cho cô.</t>
  </si>
  <si>
    <t xml:space="preserve">Luyện ở mức “kéo tay/chỉ chỗ đau cho cô” thông qua: NBTN trang phục theo thời tiết; chơi bác sĩ; mặc áo cho búp bê; trò chuyện nóng–lạnh.</t>
  </si>
  <si>
    <t xml:space="preserve">Trong sinh hoạt/giờ chơi, trẻ ra hiệu rõ hơn khi đau; chấp nhận mặc/cởi áo.</t>
  </si>
  <si>
    <t xml:space="preserve">Luyện ở mức “ra hiệu rõ hơn khi đau; chấp nhận mặc/cởi áo” thông qua: NBTN trang phục theo thời tiết; chơi bác sĩ; mặc áo cho búp bê; trò chuyện nóng–lạnh.</t>
  </si>
  <si>
    <t xml:space="preserve">Trong sinh hoạt/giờ chơi, trẻ báo cô khi khó chịu; chấp nhận đội mũ.</t>
  </si>
  <si>
    <t xml:space="preserve">Luyện ở mức “báo cô khi khó chịu; chấp nhận đội mũ” thông qua: NBTN trang phục theo thời tiết; chơi bác sĩ; mặc áo cho búp bê; trò chuyện nóng–lạnh.</t>
  </si>
  <si>
    <t xml:space="preserve">Trong sinh hoạt/giờ chơi, trẻ nói/ra hiệu vài dấu hiệu đau, mệt; mặc đúng thời tiết.</t>
  </si>
  <si>
    <t xml:space="preserve">Luyện ở mức “nói/ra hiệu vài dấu hiệu đau, mệt; mặc đúng thời tiết” thông qua: NBTN trang phục theo thời tiết; chơi bác sĩ; mặc áo cho búp bê; trò chuyện nóng–lạnh.</t>
  </si>
  <si>
    <t xml:space="preserve">Trong sinh hoạt/giờ chơi, trẻ báo người lớn khi đau, mệt; tự chấp nhận trang phục.</t>
  </si>
  <si>
    <t xml:space="preserve">Luyện ở mức “báo người lớn khi đau, mệt; tự chấp nhận trang phục” thông qua: NBTN trang phục theo thời tiết; chơi bác sĩ; mặc áo cho búp bê; trò chuyện nóng–lạnh.</t>
  </si>
  <si>
    <t xml:space="preserve">Trong sinh hoạt/giờ chơi, trẻ nói được vài dấu hiệu không khỏe; mặc phù hợp thời tiết.</t>
  </si>
  <si>
    <t xml:space="preserve">Luyện ở mức “nói được vài dấu hiệu không khỏe; mặc phù hợp thời tiết” thông qua: NBTN trang phục theo thời tiết; chơi bác sĩ; mặc áo cho búp bê; trò chuyện nóng–lạnh.</t>
  </si>
  <si>
    <t xml:space="preserve">Mốc cuối 33–36 tháng (theo QĐ 388) — trẻ nhận biết và nói cho người lớn biết một số dấu hiệu đơn giản khi bị thương, bị đau hoặc cảm thấy khó chịu; chấp nhận mặc trang phục phù hợp thời tiết một cách ổn định, chủ động.</t>
  </si>
  <si>
    <t xml:space="preserve">Luyện ở mức “nhận biết và nói cho người lớn biết một số dấu hiệu đơn giản khi bị thương, bị đau hoặc cảm thấy khó chịu; chấp nhận mặc trang phục phù hợp thời tiết” thông qua: NBTN trang phục theo thời tiết; chơi bác sĩ; mặc áo cho búp bê; trò chuyện nóng–lạnh.</t>
  </si>
  <si>
    <t xml:space="preserve">Trong sinh hoạt/giờ chơi, trẻ bắt chước cô bỏ đồ vào rổ.</t>
  </si>
  <si>
    <t xml:space="preserve">Luyện ở mức “bắt chước cô bỏ đồ vào rổ” thông qua: Bỏ đồ vào rổ cùng cô; nhặt lá bỏ thùng; chơi dọn dẹp lớp.</t>
  </si>
  <si>
    <t xml:space="preserve">Trẻ chậm / cần hỗ trợ: lùi về mốc liền trước, tăng làm mẫu – cầm tay – lặp lại; hình thành qua bắt chước hằng ngày; khen hành vi đúng; phối hợp phụ huynh.</t>
  </si>
  <si>
    <t xml:space="preserve">Trong sinh hoạt/giờ chơi, trẻ bỏ rác/đồ vào nơi cô chỉ.</t>
  </si>
  <si>
    <t xml:space="preserve">Luyện ở mức “bỏ rác/đồ vào nơi cô chỉ” thông qua: Bỏ đồ vào rổ cùng cô; nhặt lá bỏ thùng; chơi dọn dẹp lớp.</t>
  </si>
  <si>
    <t xml:space="preserve">Trong sinh hoạt/giờ chơi, trẻ tránh xa nơi cô chỉ là bẩn/nguy hiểm.</t>
  </si>
  <si>
    <t xml:space="preserve">Luyện ở mức “tránh xa nơi cô chỉ là bẩn/nguy hiểm” thông qua: Bỏ đồ vào rổ cùng cô; nhặt lá bỏ thùng; chơi dọn dẹp lớp.</t>
  </si>
  <si>
    <t xml:space="preserve">Trong sinh hoạt/giờ chơi, trẻ bắt chước lau, dọn đơn giản cùng cô.</t>
  </si>
  <si>
    <t xml:space="preserve">Luyện ở mức “bắt chước lau, dọn đơn giản cùng cô” thông qua: Bỏ đồ vào rổ cùng cô; nhặt lá bỏ thùng; chơi dọn dẹp lớp.</t>
  </si>
  <si>
    <t xml:space="preserve">Trong sinh hoạt/giờ chơi, trẻ thực hiện vài hành vi giữ vệ sinh môi trường.</t>
  </si>
  <si>
    <t xml:space="preserve">Luyện ở mức “thực hiện vài hành vi giữ vệ sinh môi trường” thông qua: Bỏ đồ vào rổ cùng cô; nhặt lá bỏ thùng; chơi dọn dẹp lớp.</t>
  </si>
  <si>
    <t xml:space="preserve">Trong sinh hoạt/giờ chơi, trẻ bỏ rác đúng nơi, cất đồ gọn với nhắc.</t>
  </si>
  <si>
    <t xml:space="preserve">Luyện ở mức “bỏ rác đúng nơi, cất đồ gọn với nhắc” thông qua: Bỏ đồ vào rổ cùng cô; nhặt lá bỏ thùng; chơi dọn dẹp lớp.</t>
  </si>
  <si>
    <t xml:space="preserve">Trong sinh hoạt/giờ chơi, trẻ giữ vệ sinh môi trường khá tự giác.</t>
  </si>
  <si>
    <t xml:space="preserve">Luyện ở mức “giữ vệ sinh môi trường khá tự giác” thông qua: Bỏ đồ vào rổ cùng cô; nhặt lá bỏ thùng; chơi dọn dẹp lớp.</t>
  </si>
  <si>
    <t xml:space="preserve">Mốc cuối 33–36 tháng (theo QĐ 388) — trẻ thực hiện được một số hành vi vệ sinh môi trường một cách ổn định, chủ động.</t>
  </si>
  <si>
    <t xml:space="preserve">Luyện ở mức “thực hiện được một số hành vi vệ sinh môi trường” thông qua: Bỏ đồ vào rổ cùng cô; nhặt lá bỏ thùng; chơi dọn dẹp lớp.</t>
  </si>
  <si>
    <t xml:space="preserve">Trong sinh hoạt/giờ chơi, trẻ dừng lại/chú ý khi cô kêu 'Không!', 'Nóng!'.</t>
  </si>
  <si>
    <t xml:space="preserve">Luyện ở mức “dừng lại/chú ý khi cô kêu 'Không!', 'Nóng!'” thông qua: NBTN vật nóng, ổ điện; tín hiệu 'Không/Nóng'; xem tranh biển báo, đèn giao thông.</t>
  </si>
  <si>
    <t xml:space="preserve">Trẻ chậm / cần hỗ trợ: lùi về mốc liền trước, tăng làm mẫu – cầm tay – lặp lại; dùng tín hiệu ngắn, nhất quán; tranh ảnh trực quan gần gũi.</t>
  </si>
  <si>
    <t xml:space="preserve">Trong sinh hoạt/giờ chơi, trẻ tránh vật cô chỉ là nguy hiểm.</t>
  </si>
  <si>
    <t xml:space="preserve">Luyện ở mức “tránh vật cô chỉ là nguy hiểm” thông qua: NBTN vật nóng, ổ điện; tín hiệu 'Không/Nóng'; xem tranh biển báo, đèn giao thông.</t>
  </si>
  <si>
    <t xml:space="preserve">Trong sinh hoạt/giờ chơi, trẻ nhận ra vài nơi/vật nguy hiểm khi cô chỉ.</t>
  </si>
  <si>
    <t xml:space="preserve">Luyện ở mức “nhận ra vài nơi/vật nguy hiểm khi cô chỉ” thông qua: NBTN vật nóng, ổ điện; tín hiệu 'Không/Nóng'; xem tranh biển báo, đèn giao thông.</t>
  </si>
  <si>
    <t xml:space="preserve">Trong sinh hoạt/giờ chơi, trẻ chú ý dấu hiệu cô cảnh báo (đèn đỏ, ký hiệu).</t>
  </si>
  <si>
    <t xml:space="preserve">Luyện ở mức “chú ý dấu hiệu cô cảnh báo (đèn đỏ, ký hiệu)” thông qua: NBTN vật nóng, ổ điện; tín hiệu 'Không/Nóng'; xem tranh biển báo, đèn giao thông.</t>
  </si>
  <si>
    <t xml:space="preserve">Trong sinh hoạt/giờ chơi, trẻ nhận biết vài dấu hiệu cảnh báo nguy hiểm.</t>
  </si>
  <si>
    <t xml:space="preserve">Luyện ở mức “nhận biết vài dấu hiệu cảnh báo nguy hiểm” thông qua: NBTN vật nóng, ổ điện; tín hiệu 'Không/Nóng'; xem tranh biển báo, đèn giao thông.</t>
  </si>
  <si>
    <t xml:space="preserve">Trong sinh hoạt/giờ chơi, trẻ nhận biết màu đỏ là dừng; vài ký hiệu đơn giản.</t>
  </si>
  <si>
    <t xml:space="preserve">Luyện ở mức “nhận biết màu đỏ là dừng; vài ký hiệu đơn giản” thông qua: NBTN vật nóng, ổ điện; tín hiệu 'Không/Nóng'; xem tranh biển báo, đèn giao thông.</t>
  </si>
  <si>
    <t xml:space="preserve">Trong sinh hoạt/giờ chơi, trẻ nhận biết nhiều dấu hiệu cảnh báo nguy hiểm hơn.</t>
  </si>
  <si>
    <t xml:space="preserve">Luyện ở mức “nhận biết nhiều dấu hiệu cảnh báo nguy hiểm hơn” thông qua: NBTN vật nóng, ổ điện; tín hiệu 'Không/Nóng'; xem tranh biển báo, đèn giao thông.</t>
  </si>
  <si>
    <t xml:space="preserve">Mốc cuối 33–36 tháng (theo QĐ 388) — trẻ nhận biết một số dấu hiệu cảnh báo nguy hiểm một cách ổn định, chủ động.</t>
  </si>
  <si>
    <t xml:space="preserve">Luyện ở mức “nhận biết một số dấu hiệu cảnh báo nguy hiểm” thông qua: NBTN vật nóng, ổ điện; tín hiệu 'Không/Nóng'; xem tranh biển báo, đèn giao thông.</t>
  </si>
  <si>
    <t xml:space="preserve">Trong sinh hoạt/giờ chơi, trẻ dừng hành động khi cô nhắc (kèm cử chỉ).</t>
  </si>
  <si>
    <t xml:space="preserve">Luyện ở mức “dừng hành động khi cô nhắc (kèm cử chỉ)” thông qua: NBTN nơi/đồ vật nguy hiểm; chơi tình huống an toàn; làm hàng rào bảo vệ (xây dựng).</t>
  </si>
  <si>
    <t xml:space="preserve">Trẻ chậm / cần hỗ trợ: lùi về mốc liền trước, tăng làm mẫu – cầm tay – lặp lại; nhắc nhất quán kèm cử chỉ; phối hợp phụ huynh; luôn giám sát an toàn.</t>
  </si>
  <si>
    <t xml:space="preserve">Trong sinh hoạt/giờ chơi, trẻ rời xa ổ điện, bậc cao khi có cô.</t>
  </si>
  <si>
    <t xml:space="preserve">Luyện ở mức “rời xa ổ điện, bậc cao khi có cô” thông qua: NBTN nơi/đồ vật nguy hiểm; chơi tình huống an toàn; làm hàng rào bảo vệ (xây dựng).</t>
  </si>
  <si>
    <t xml:space="preserve">Trong sinh hoạt/giờ chơi, trẻ tránh vật nóng/nguy hiểm khi được nhắc.</t>
  </si>
  <si>
    <t xml:space="preserve">Luyện ở mức “tránh vật nóng/nguy hiểm khi được nhắc” thông qua: NBTN nơi/đồ vật nguy hiểm; chơi tình huống an toàn; làm hàng rào bảo vệ (xây dựng).</t>
  </si>
  <si>
    <t xml:space="preserve">Trong sinh hoạt/giờ chơi, trẻ không làm hành động nguy hiểm khi cô nhắc.</t>
  </si>
  <si>
    <t xml:space="preserve">Luyện ở mức “không làm hành động nguy hiểm khi cô nhắc” thông qua: NBTN nơi/đồ vật nguy hiểm; chơi tình huống an toàn; làm hàng rào bảo vệ (xây dựng).</t>
  </si>
  <si>
    <t xml:space="preserve">Trong sinh hoạt/giờ chơi, trẻ tránh đồ vật/nơi nguy hiểm khá tự giác.</t>
  </si>
  <si>
    <t xml:space="preserve">Luyện ở mức “tránh đồ vật/nơi nguy hiểm khá tự giác” thông qua: NBTN nơi/đồ vật nguy hiểm; chơi tình huống an toàn; làm hàng rào bảo vệ (xây dựng).</t>
  </si>
  <si>
    <t xml:space="preserve">Trong sinh hoạt/giờ chơi, trẻ không leo trèo, không ra cổng khi được nhắc.</t>
  </si>
  <si>
    <t xml:space="preserve">Luyện ở mức “không leo trèo, không ra cổng khi được nhắc” thông qua: NBTN nơi/đồ vật nguy hiểm; chơi tình huống an toàn; làm hàng rào bảo vệ (xây dựng).</t>
  </si>
  <si>
    <t xml:space="preserve">Trong sinh hoạt/giờ chơi, trẻ tránh nguy hiểm và dừng hành vi nguy hiểm khá tốt.</t>
  </si>
  <si>
    <t xml:space="preserve">Luyện ở mức “tránh nguy hiểm và dừng hành vi nguy hiểm khá tốt” thông qua: NBTN nơi/đồ vật nguy hiểm; chơi tình huống an toàn; làm hàng rào bảo vệ (xây dựng).</t>
  </si>
  <si>
    <t xml:space="preserve">Mốc cuối 33–36 tháng (theo QĐ 388) — trẻ tránh một số đồ vật, địa điểm nguy hiểm, không thực hiện những hành động gây nguy hiểm khi được nhắc nhở một cách ổn định, chủ động.</t>
  </si>
  <si>
    <t xml:space="preserve">Luyện ở mức “tránh một số đồ vật, địa điểm nguy hiểm, không thực hiện những hành động gây nguy hiểm khi được nhắc nhở” thông qua: NBTN nơi/đồ vật nguy hiểm; chơi tình huống an toàn; làm hàng rào bảo vệ (xây dựng).</t>
  </si>
  <si>
    <t xml:space="preserve">Tình cảm – xã hội</t>
  </si>
  <si>
    <t xml:space="preserve">Trong sinh hoạt/giờ chơi, trẻ quay đầu/phản ứng khi được gọi đúng tên.</t>
  </si>
  <si>
    <t xml:space="preserve">Luyện ở mức “quay đầu/phản ứng khi được gọi đúng tên” thông qua: Gọi tên trẻ thường xuyên; soi gương; xem album ảnh lớp; NBTN bé là ai.</t>
  </si>
  <si>
    <t xml:space="preserve">Trẻ chậm / cần hỗ trợ: lùi về mốc liền trước, tăng làm mẫu – cầm tay – lặp lại; không ép trẻ tự nhận ra sớm; dùng tên trẻ nhiều; tạo cơ hội soi gương, xem ảnh.</t>
  </si>
  <si>
    <t xml:space="preserve">Trong sinh hoạt/giờ chơi, trẻ nhìn vào gương, ảnh khi cô chỉ.</t>
  </si>
  <si>
    <t xml:space="preserve">Luyện ở mức “nhìn vào gương, ảnh khi cô chỉ” thông qua: Gọi tên trẻ thường xuyên; soi gương; xem album ảnh lớp; NBTN bé là ai.</t>
  </si>
  <si>
    <t xml:space="preserve">Trong sinh hoạt/giờ chơi, trẻ chú ý hình mình trong gương/ảnh (chưa tự nhận ra).</t>
  </si>
  <si>
    <t xml:space="preserve">Luyện ở mức “chú ý hình mình trong gương/ảnh (chưa tự nhận ra)” thông qua: Gọi tên trẻ thường xuyên; soi gương; xem album ảnh lớp; NBTN bé là ai.</t>
  </si>
  <si>
    <t xml:space="preserve">Trong sinh hoạt/giờ chơi, trẻ bước đầu nhận ra mình trong ảnh quen thuộc khi cô hỏi.</t>
  </si>
  <si>
    <t xml:space="preserve">Luyện ở mức “bước đầu nhận ra mình trong ảnh quen thuộc khi cô hỏi” thông qua: Gọi tên trẻ thường xuyên; soi gương; xem album ảnh lớp; NBTN bé là ai.</t>
  </si>
  <si>
    <t xml:space="preserve">Trong sinh hoạt/giờ chơi, trẻ nhận ra mình trong gương khi được hỏi.</t>
  </si>
  <si>
    <t xml:space="preserve">Luyện ở mức “nhận ra mình trong gương khi được hỏi” thông qua: Gọi tên trẻ thường xuyên; soi gương; xem album ảnh lớp; NBTN bé là ai.</t>
  </si>
  <si>
    <t xml:space="preserve">Trong sinh hoạt/giờ chơi, trẻ nhận ra mình trong ảnh; chỉ đúng khi cô hỏi.</t>
  </si>
  <si>
    <t xml:space="preserve">Luyện ở mức “nhận ra mình trong ảnh; chỉ đúng khi cô hỏi” thông qua: Gọi tên trẻ thường xuyên; soi gương; xem album ảnh lớp; NBTN bé là ai.</t>
  </si>
  <si>
    <t xml:space="preserve">Trong sinh hoạt/giờ chơi, trẻ nhận ra mình trong gương và ảnh khá chắc chắn.</t>
  </si>
  <si>
    <t xml:space="preserve">Luyện ở mức “nhận ra mình trong gương và ảnh khá chắc chắn” thông qua: Gọi tên trẻ thường xuyên; soi gương; xem album ảnh lớp; NBTN bé là ai.</t>
  </si>
  <si>
    <t xml:space="preserve">Mốc cuối 33–36 tháng (theo QĐ 388) — trẻ nhận ra bản thân trong gương, trong ảnh khi được hỏi một cách ổn định, chủ động.</t>
  </si>
  <si>
    <t xml:space="preserve">Luyện ở mức “nhận ra bản thân trong gương, trong ảnh khi được hỏi” thông qua: Gọi tên trẻ thường xuyên; soi gương; xem album ảnh lớp; NBTN bé là ai.</t>
  </si>
  <si>
    <t xml:space="preserve">Trong sinh hoạt/giờ chơi, trẻ khóc/ra hiệu khi đói, khát, muốn bế.</t>
  </si>
  <si>
    <t xml:space="preserve">Luyện ở mức “khóc/ra hiệu khi đói, khát, muốn bế” thông qua: Khích lệ ra hiệu/nói khi cần; trò chuyện 'bé cần gì'; đáp ứng kịp thời nhu cầu.</t>
  </si>
  <si>
    <t xml:space="preserve">Trẻ chậm / cần hỗ trợ: lùi về mốc liền trước, tăng làm mẫu – cầm tay – lặp lại; hỗ trợ trẻ dùng cử chỉ/tiếng thay khóc; không làm thay ngay; phối hợp phụ huynh.</t>
  </si>
  <si>
    <t xml:space="preserve">Trong sinh hoạt/giờ chơi, trẻ chỉ tay, kéo tay để bày tỏ nhu cầu.</t>
  </si>
  <si>
    <t xml:space="preserve">Luyện ở mức “chỉ tay, kéo tay để bày tỏ nhu cầu” thông qua: Khích lệ ra hiệu/nói khi cần; trò chuyện 'bé cần gì'; đáp ứng kịp thời nhu cầu.</t>
  </si>
  <si>
    <t xml:space="preserve">Trong sinh hoạt/giờ chơi, trẻ dùng tiếng một + cử chỉ bày tỏ nhu cầu.</t>
  </si>
  <si>
    <t xml:space="preserve">Luyện ở mức “dùng tiếng một + cử chỉ bày tỏ nhu cầu” thông qua: Khích lệ ra hiệu/nói khi cần; trò chuyện 'bé cần gì'; đáp ứng kịp thời nhu cầu.</t>
  </si>
  <si>
    <t xml:space="preserve">Trong sinh hoạt/giờ chơi, trẻ nói tiếng/câu một tiếng bày tỏ nhu cầu rõ hơn.</t>
  </si>
  <si>
    <t xml:space="preserve">Luyện ở mức “nói tiếng/câu một tiếng bày tỏ nhu cầu rõ hơn” thông qua: Khích lệ ra hiệu/nói khi cần; trò chuyện 'bé cần gì'; đáp ứng kịp thời nhu cầu.</t>
  </si>
  <si>
    <t xml:space="preserve">Trong sinh hoạt/giờ chơi, trẻ bày tỏ nhu cầu bằng cử chỉ + lời nói ngắn.</t>
  </si>
  <si>
    <t xml:space="preserve">Luyện ở mức “bày tỏ nhu cầu bằng cử chỉ + lời nói ngắn” thông qua: Khích lệ ra hiệu/nói khi cần; trò chuyện 'bé cần gì'; đáp ứng kịp thời nhu cầu.</t>
  </si>
  <si>
    <t xml:space="preserve">Trong sinh hoạt/giờ chơi, trẻ dùng lời nói đơn giản nói nhu cầu (con uống...).</t>
  </si>
  <si>
    <t xml:space="preserve">Luyện ở mức “dùng lời nói đơn giản nói nhu cầu (con uống...)” thông qua: Khích lệ ra hiệu/nói khi cần; trò chuyện 'bé cần gì'; đáp ứng kịp thời nhu cầu.</t>
  </si>
  <si>
    <t xml:space="preserve">Trong sinh hoạt/giờ chơi, trẻ diễn đạt nhu cầu bằng câu ngắn khá rõ.</t>
  </si>
  <si>
    <t xml:space="preserve">Luyện ở mức “diễn đạt nhu cầu bằng câu ngắn khá rõ” thông qua: Khích lệ ra hiệu/nói khi cần; trò chuyện 'bé cần gì'; đáp ứng kịp thời nhu cầu.</t>
  </si>
  <si>
    <t xml:space="preserve">Mốc cuối 33–36 tháng (theo QĐ 388) — trẻ thể hiện nhu cầu của bản thân bằng cử chỉ, hành động, lời nói một cách ổn định, chủ động.</t>
  </si>
  <si>
    <t xml:space="preserve">Luyện ở mức “thể hiện nhu cầu của bản thân bằng cử chỉ, hành động, lời nói” thông qua: Khích lệ ra hiệu/nói khi cần; trò chuyện 'bé cần gì'; đáp ứng kịp thời nhu cầu.</t>
  </si>
  <si>
    <t xml:space="preserve">Trong sinh hoạt/giờ chơi, trẻ với lấy đồ chơi thích; đẩy ra cái không thích.</t>
  </si>
  <si>
    <t xml:space="preserve">Luyện ở mức “với lấy đồ chơi thích; đẩy ra cái không thích” thông qua: Cho trẻ chọn đồ chơi, bài hát; trò chuyện 'con thích gì'; tôn trọng lựa chọn.</t>
  </si>
  <si>
    <t xml:space="preserve">Trẻ chậm / cần hỗ trợ: lùi về mốc liền trước, tăng làm mẫu – cầm tay – lặp lại; tôn trọng khác biệt; tạo cơ hội lựa chọn; khích lệ dùng lời bày tỏ.</t>
  </si>
  <si>
    <t xml:space="preserve">Trong sinh hoạt/giờ chơi, trẻ quay đi/đẩy ra rõ với cái không thích.</t>
  </si>
  <si>
    <t xml:space="preserve">Luyện ở mức “quay đi/đẩy ra rõ với cái không thích” thông qua: Cho trẻ chọn đồ chơi, bài hát; trò chuyện 'con thích gì'; tôn trọng lựa chọn.</t>
  </si>
  <si>
    <t xml:space="preserve">Trong sinh hoạt/giờ chơi, trẻ chọn đồ chơi/món ăn thích khi được mời.</t>
  </si>
  <si>
    <t xml:space="preserve">Luyện ở mức “chọn đồ chơi/món ăn thích khi được mời” thông qua: Cho trẻ chọn đồ chơi, bài hát; trò chuyện 'con thích gì'; tôn trọng lựa chọn.</t>
  </si>
  <si>
    <t xml:space="preserve">Trong sinh hoạt/giờ chơi, trẻ bày tỏ thích/không thích bằng cử chỉ rõ.</t>
  </si>
  <si>
    <t xml:space="preserve">Luyện ở mức “bày tỏ thích/không thích bằng cử chỉ rõ” thông qua: Cho trẻ chọn đồ chơi, bài hát; trò chuyện 'con thích gì'; tôn trọng lựa chọn.</t>
  </si>
  <si>
    <t xml:space="preserve">Trong sinh hoạt/giờ chơi, trẻ nói/ra hiệu điều thích, không thích.</t>
  </si>
  <si>
    <t xml:space="preserve">Luyện ở mức “nói/ra hiệu điều thích, không thích” thông qua: Cho trẻ chọn đồ chơi, bài hát; trò chuyện 'con thích gì'; tôn trọng lựa chọn.</t>
  </si>
  <si>
    <t xml:space="preserve">Trong sinh hoạt/giờ chơi, trẻ bày tỏ sở thích bằng lời nói đơn giản.</t>
  </si>
  <si>
    <t xml:space="preserve">Luyện ở mức “bày tỏ sở thích bằng lời nói đơn giản” thông qua: Cho trẻ chọn đồ chơi, bài hát; trò chuyện 'con thích gì'; tôn trọng lựa chọn.</t>
  </si>
  <si>
    <t xml:space="preserve">Trong sinh hoạt/giờ chơi, trẻ diễn đạt thích/không thích bằng câu ngắn.</t>
  </si>
  <si>
    <t xml:space="preserve">Luyện ở mức “diễn đạt thích/không thích bằng câu ngắn” thông qua: Cho trẻ chọn đồ chơi, bài hát; trò chuyện 'con thích gì'; tôn trọng lựa chọn.</t>
  </si>
  <si>
    <t xml:space="preserve">Mốc cuối 33–36 tháng (theo QĐ 388) — trẻ thể hiện điều bản thân thích hoặc không thích thông qua hành vi, lời nói một cách ổn định, chủ động.</t>
  </si>
  <si>
    <t xml:space="preserve">Luyện ở mức “thể hiện điều bản thân thích hoặc không thích thông qua hành vi, lời nói” thông qua: Cho trẻ chọn đồ chơi, bài hát; trò chuyện 'con thích gì'; tôn trọng lựa chọn.</t>
  </si>
  <si>
    <t xml:space="preserve">Trong sinh hoạt/giờ chơi, trẻ biểu lộ rõ vui/khó chịu (cười, khóc).</t>
  </si>
  <si>
    <t xml:space="preserve">Luyện ở mức “biểu lộ rõ vui/khó chịu (cười, khóc)” thông qua: Gọi tên cảm xúc trẻ (con vui/buồn); xem tranh cảm xúc; trò chơi nét mặt.</t>
  </si>
  <si>
    <t xml:space="preserve">Trẻ chậm / cần hỗ trợ: lùi về mốc liền trước, tăng làm mẫu – cầm tay – lặp lại; cô gọi tên cảm xúc trong tình huống thực; không ép trẻ; chấp nhận cách trẻ biểu lộ.</t>
  </si>
  <si>
    <t xml:space="preserve">Trong sinh hoạt/giờ chơi, trẻ được cô gọi tên cảm xúc trong tình huống.</t>
  </si>
  <si>
    <t xml:space="preserve">Luyện ở mức “được cô gọi tên cảm xúc trong tình huống” thông qua: Gọi tên cảm xúc trẻ (con vui/buồn); xem tranh cảm xúc; trò chơi nét mặt.</t>
  </si>
  <si>
    <t xml:space="preserve">Trong sinh hoạt/giờ chơi, trẻ nhận ra cảm xúc vui–buồn qua tranh khi cô hỏi.</t>
  </si>
  <si>
    <t xml:space="preserve">Luyện ở mức “nhận ra cảm xúc vui–buồn qua tranh khi cô hỏi” thông qua: Gọi tên cảm xúc trẻ (con vui/buồn); xem tranh cảm xúc; trò chơi nét mặt.</t>
  </si>
  <si>
    <t xml:space="preserve">Trong sinh hoạt/giờ chơi, trẻ chỉ/nói cảm xúc vui–buồn của mình khi cô gợi.</t>
  </si>
  <si>
    <t xml:space="preserve">Luyện ở mức “chỉ/nói cảm xúc vui–buồn của mình khi cô gợi” thông qua: Gọi tên cảm xúc trẻ (con vui/buồn); xem tranh cảm xúc; trò chơi nét mặt.</t>
  </si>
  <si>
    <t xml:space="preserve">Trong sinh hoạt/giờ chơi, trẻ nhận ra vài cảm xúc cơ bản của bản thân.</t>
  </si>
  <si>
    <t xml:space="preserve">Luyện ở mức “nhận ra vài cảm xúc cơ bản của bản thân” thông qua: Gọi tên cảm xúc trẻ (con vui/buồn); xem tranh cảm xúc; trò chơi nét mặt.</t>
  </si>
  <si>
    <t xml:space="preserve">Trong sinh hoạt/giờ chơi, trẻ gọi tên cảm xúc vui, buồn, sợ của mình.</t>
  </si>
  <si>
    <t xml:space="preserve">Luyện ở mức “gọi tên cảm xúc vui, buồn, sợ của mình” thông qua: Gọi tên cảm xúc trẻ (con vui/buồn); xem tranh cảm xúc; trò chơi nét mặt.</t>
  </si>
  <si>
    <t xml:space="preserve">Trong sinh hoạt/giờ chơi, trẻ nhận biết nhiều cảm xúc cơ bản hơn.</t>
  </si>
  <si>
    <t xml:space="preserve">Luyện ở mức “nhận biết nhiều cảm xúc cơ bản hơn” thông qua: Gọi tên cảm xúc trẻ (con vui/buồn); xem tranh cảm xúc; trò chơi nét mặt.</t>
  </si>
  <si>
    <t xml:space="preserve">Mốc cuối 33–36 tháng (theo QĐ 388) — trẻ nhận ra một số cảm xúc cơ bản của bản thân một cách ổn định, chủ động.</t>
  </si>
  <si>
    <t xml:space="preserve">Luyện ở mức “nhận ra một số cảm xúc cơ bản của bản thân” thông qua: Gọi tên cảm xúc trẻ (con vui/buồn); xem tranh cảm xúc; trò chơi nét mặt.</t>
  </si>
  <si>
    <t xml:space="preserve">Trong sinh hoạt/giờ chơi, trẻ cười, vỗ tay khi vui; lắc đầu khi không thích.</t>
  </si>
  <si>
    <t xml:space="preserve">Luyện ở mức “cười, vỗ tay khi vui; lắc đầu khi không thích” thông qua: Bắt chước nét mặt; trò chơi cảm xúc; thể hiện cảm xúc khi chơi búp bê.</t>
  </si>
  <si>
    <t xml:space="preserve">Trẻ chậm / cần hỗ trợ: lùi về mốc liền trước, tăng làm mẫu – cầm tay – lặp lại; tôn trọng cảm xúc; hướng dẫn biểu lộ phù hợp thay hành vi tiêu cực.</t>
  </si>
  <si>
    <t xml:space="preserve">Trong sinh hoạt/giờ chơi, trẻ thể hiện vui/không thích qua nét mặt, cử chỉ.</t>
  </si>
  <si>
    <t xml:space="preserve">Luyện ở mức “thể hiện vui/không thích qua nét mặt, cử chỉ” thông qua: Bắt chước nét mặt; trò chơi cảm xúc; thể hiện cảm xúc khi chơi búp bê.</t>
  </si>
  <si>
    <t xml:space="preserve">Trong sinh hoạt/giờ chơi, trẻ biểu lộ vài cảm xúc qua nét mặt rõ hơn.</t>
  </si>
  <si>
    <t xml:space="preserve">Luyện ở mức “biểu lộ vài cảm xúc qua nét mặt rõ hơn” thông qua: Bắt chước nét mặt; trò chơi cảm xúc; thể hiện cảm xúc khi chơi búp bê.</t>
  </si>
  <si>
    <t xml:space="preserve">Trong sinh hoạt/giờ chơi, trẻ bắt chước nét mặt biểu cảm cùng cô.</t>
  </si>
  <si>
    <t xml:space="preserve">Luyện ở mức “bắt chước nét mặt biểu cảm cùng cô” thông qua: Bắt chước nét mặt; trò chơi cảm xúc; thể hiện cảm xúc khi chơi búp bê.</t>
  </si>
  <si>
    <t xml:space="preserve">Trong sinh hoạt/giờ chơi, trẻ thể hiện vui, buồn, thích qua nét mặt + cử chỉ.</t>
  </si>
  <si>
    <t xml:space="preserve">Luyện ở mức “thể hiện vui, buồn, thích qua nét mặt + cử chỉ” thông qua: Bắt chước nét mặt; trò chơi cảm xúc; thể hiện cảm xúc khi chơi búp bê.</t>
  </si>
  <si>
    <t xml:space="preserve">Trong sinh hoạt/giờ chơi, trẻ biểu lộ cảm xúc bằng cử chỉ + lời nói ngắn.</t>
  </si>
  <si>
    <t xml:space="preserve">Luyện ở mức “biểu lộ cảm xúc bằng cử chỉ + lời nói ngắn” thông qua: Bắt chước nét mặt; trò chơi cảm xúc; thể hiện cảm xúc khi chơi búp bê.</t>
  </si>
  <si>
    <t xml:space="preserve">Trong sinh hoạt/giờ chơi, trẻ thể hiện nhiều cảm xúc khác nhau khá rõ.</t>
  </si>
  <si>
    <t xml:space="preserve">Luyện ở mức “thể hiện nhiều cảm xúc khác nhau khá rõ” thông qua: Bắt chước nét mặt; trò chơi cảm xúc; thể hiện cảm xúc khi chơi búp bê.</t>
  </si>
  <si>
    <t xml:space="preserve">Mốc cuối 33–36 tháng (theo QĐ 388) — trẻ biểu lộ các cảm xúc khác nhau qua nét mặt, cử chỉ, hành động, lời nói một cách ổn định, chủ động.</t>
  </si>
  <si>
    <t xml:space="preserve">Luyện ở mức “biểu lộ các cảm xúc khác nhau qua nét mặt, cử chỉ, hành động, lời nói” thông qua: Bắt chước nét mặt; trò chơi cảm xúc; thể hiện cảm xúc khi chơi búp bê.</t>
  </si>
  <si>
    <t xml:space="preserve">Trong sinh hoạt/giờ chơi, trẻ dừng/đổi hành vi khi cô nhắc kèm cử chỉ.</t>
  </si>
  <si>
    <t xml:space="preserve">Luyện ở mức “dừng/đổi hành vi khi cô nhắc kèm cử chỉ” thông qua: Trò chơi theo hiệu lệnh (đèn xanh–đỏ); cất đồ khi có tín hiệu; chờ đến lượt.</t>
  </si>
  <si>
    <t xml:space="preserve">Trẻ chậm / cần hỗ trợ: lùi về mốc liền trước, tăng làm mẫu – cầm tay – lặp lại; hiệu lệnh ngắn, nhất quán, kèm cử chỉ; khen khi trẻ điều chỉnh; (lời 'khởi động' dễ theo hơn 'kìm hãm').</t>
  </si>
  <si>
    <t xml:space="preserve">Trong sinh hoạt/giờ chơi, trẻ dừng hành vi khi cô nhắc, ít cần cử chỉ.</t>
  </si>
  <si>
    <t xml:space="preserve">Luyện ở mức “dừng hành vi khi cô nhắc, ít cần cử chỉ” thông qua: Trò chơi theo hiệu lệnh (đèn xanh–đỏ); cất đồ khi có tín hiệu; chờ đến lượt.</t>
  </si>
  <si>
    <t xml:space="preserve">Trong sinh hoạt/giờ chơi, trẻ chuyển hoạt động theo cô khi được nhắc.</t>
  </si>
  <si>
    <t xml:space="preserve">Luyện ở mức “chuyển hoạt động theo cô khi được nhắc” thông qua: Trò chơi theo hiệu lệnh (đèn xanh–đỏ); cất đồ khi có tín hiệu; chờ đến lượt.</t>
  </si>
  <si>
    <t xml:space="preserve">Trong sinh hoạt/giờ chơi, trẻ dừng và đổi hành vi khi cô nhắc rõ hơn.</t>
  </si>
  <si>
    <t xml:space="preserve">Luyện ở mức “dừng và đổi hành vi khi cô nhắc rõ hơn” thông qua: Trò chơi theo hiệu lệnh (đèn xanh–đỏ); cất đồ khi có tín hiệu; chờ đến lượt.</t>
  </si>
  <si>
    <t xml:space="preserve">Trong sinh hoạt/giờ chơi, trẻ dừng hành vi không phù hợp khi được nhắc.</t>
  </si>
  <si>
    <t xml:space="preserve">Luyện ở mức “dừng hành vi không phù hợp khi được nhắc” thông qua: Trò chơi theo hiệu lệnh (đèn xanh–đỏ); cất đồ khi có tín hiệu; chờ đến lượt.</t>
  </si>
  <si>
    <t xml:space="preserve">Trong sinh hoạt/giờ chơi, trẻ chờ đến lượt trong tình huống đơn giản.</t>
  </si>
  <si>
    <t xml:space="preserve">Luyện ở mức “chờ đến lượt trong tình huống đơn giản” thông qua: Trò chơi theo hiệu lệnh (đèn xanh–đỏ); cất đồ khi có tín hiệu; chờ đến lượt.</t>
  </si>
  <si>
    <t xml:space="preserve">Trong sinh hoạt/giờ chơi, trẻ tự điều chỉnh hành vi khá tốt khi được nhắc.</t>
  </si>
  <si>
    <t xml:space="preserve">Luyện ở mức “tự điều chỉnh hành vi khá tốt khi được nhắc” thông qua: Trò chơi theo hiệu lệnh (đèn xanh–đỏ); cất đồ khi có tín hiệu; chờ đến lượt.</t>
  </si>
  <si>
    <t xml:space="preserve">Mốc cuối 33–36 tháng (theo QĐ 388) — trẻ dừng lại hoặc thay đổi hành vi khi được người lớn nhắc nhở một cách ổn định, chủ động.</t>
  </si>
  <si>
    <t xml:space="preserve">Luyện ở mức “dừng lại hoặc thay đổi hành vi khi được người lớn nhắc nhở” thông qua: Trò chơi theo hiệu lệnh (đèn xanh–đỏ); cất đồ khi có tín hiệu; chờ đến lượt.</t>
  </si>
  <si>
    <t xml:space="preserve">Trong sinh hoạt/giờ chơi, trẻ quen lớp, nhóm; phản ứng khi nghe 'các con'.</t>
  </si>
  <si>
    <t xml:space="preserve">Luyện ở mức “quen lớp, nhóm; phản ứng khi nghe 'các con'” thông qua: NBTN gia đình, lớp của bé; chơi mẹ con; xem ảnh gia đình, lớp.</t>
  </si>
  <si>
    <t xml:space="preserve">Trẻ chậm / cần hỗ trợ: lùi về mốc liền trước, tăng làm mẫu – cầm tay – lặp lại; dùng từ bố/mẹ/cô/bạn nhiều; phối hợp phụ huynh; không ép trẻ ghi nhớ.</t>
  </si>
  <si>
    <t xml:space="preserve">Trong sinh hoạt/giờ chơi, trẻ nhận ra người thân quen khi đến lớp.</t>
  </si>
  <si>
    <t xml:space="preserve">Luyện ở mức “nhận ra người thân quen khi đến lớp” thông qua: NBTN gia đình, lớp của bé; chơi mẹ con; xem ảnh gia đình, lớp.</t>
  </si>
  <si>
    <t xml:space="preserve">Trong sinh hoạt/giờ chơi, trẻ biết mình thuộc nhóm/lớp khi cô nhắc.</t>
  </si>
  <si>
    <t xml:space="preserve">Luyện ở mức “biết mình thuộc nhóm/lớp khi cô nhắc” thông qua: NBTN gia đình, lớp của bé; chơi mẹ con; xem ảnh gia đình, lớp.</t>
  </si>
  <si>
    <t xml:space="preserve">Trong sinh hoạt/giờ chơi, trẻ nhận biết vị trí mình (con/em) trong tình huống.</t>
  </si>
  <si>
    <t xml:space="preserve">Luyện ở mức “nhận biết vị trí mình (con/em) trong tình huống” thông qua: NBTN gia đình, lớp của bé; chơi mẹ con; xem ảnh gia đình, lớp.</t>
  </si>
  <si>
    <t xml:space="preserve">Trong sinh hoạt/giờ chơi, trẻ nhận biết là con/cháu/em trong gia đình, nhóm.</t>
  </si>
  <si>
    <t xml:space="preserve">Luyện ở mức “nhận biết là con/cháu/em trong gia đình, nhóm” thông qua: NBTN gia đình, lớp của bé; chơi mẹ con; xem ảnh gia đình, lớp.</t>
  </si>
  <si>
    <t xml:space="preserve">Trong sinh hoạt/giờ chơi, trẻ biết mình là thành viên của lớp, nhóm.</t>
  </si>
  <si>
    <t xml:space="preserve">Luyện ở mức “biết mình là thành viên của lớp, nhóm” thông qua: NBTN gia đình, lớp của bé; chơi mẹ con; xem ảnh gia đình, lớp.</t>
  </si>
  <si>
    <t xml:space="preserve">Trong sinh hoạt/giờ chơi, trẻ nhận biết vị trí bản thân khá rõ trong các quan hệ.</t>
  </si>
  <si>
    <t xml:space="preserve">Luyện ở mức “nhận biết vị trí bản thân khá rõ trong các quan hệ” thông qua: NBTN gia đình, lớp của bé; chơi mẹ con; xem ảnh gia đình, lớp.</t>
  </si>
  <si>
    <t xml:space="preserve">Mốc cuối 33–36 tháng (theo QĐ 388) — trẻ nhận biết vị trí của bản thân là con/cháu/em... trong gia đình, nhóm, lớp một cách ổn định, chủ động.</t>
  </si>
  <si>
    <t xml:space="preserve">Luyện ở mức “nhận biết vị trí của bản thân là con/cháu/em... trong gia đình, nhóm, lớp” thông qua: NBTN gia đình, lớp của bé; chơi mẹ con; xem ảnh gia đình, lớp.</t>
  </si>
  <si>
    <t xml:space="preserve">Trong sinh hoạt/giờ chơi, trẻ phản ứng với tên mình.</t>
  </si>
  <si>
    <t xml:space="preserve">Luyện ở mức “phản ứng với tên mình” thông qua: NBTN tên của bé, bộ phận cơ thể, bé trai–bé gái; soi gương; xem ảnh.</t>
  </si>
  <si>
    <t xml:space="preserve">Trẻ chậm / cần hỗ trợ: lùi về mốc liền trước, tăng làm mẫu – cầm tay – lặp lại; chỉ tập trung tên + vài bộ phận quen; không ép ghi nhớ nhiều thông tin.</t>
  </si>
  <si>
    <t xml:space="preserve">Trong sinh hoạt/giờ chơi, trẻ chỉ 1–2 bộ phận cơ thể khi cô hỏi.</t>
  </si>
  <si>
    <t xml:space="preserve">Luyện ở mức “chỉ 1–2 bộ phận cơ thể khi cô hỏi” thông qua: NBTN tên của bé, bộ phận cơ thể, bé trai–bé gái; soi gương; xem ảnh.</t>
  </si>
  <si>
    <t xml:space="preserve">Trong sinh hoạt/giờ chơi, trẻ chỉ vài bộ phận; biết tên mình.</t>
  </si>
  <si>
    <t xml:space="preserve">Luyện ở mức “chỉ vài bộ phận; biết tên mình” thông qua: NBTN tên của bé, bộ phận cơ thể, bé trai–bé gái; soi gương; xem ảnh.</t>
  </si>
  <si>
    <t xml:space="preserve">Trong sinh hoạt/giờ chơi, trẻ nói (theo cách của trẻ) tên mình; chỉ bộ phận.</t>
  </si>
  <si>
    <t xml:space="preserve">Luyện ở mức “nói (theo cách của trẻ) tên mình; chỉ bộ phận” thông qua: NBTN tên của bé, bộ phận cơ thể, bé trai–bé gái; soi gương; xem ảnh.</t>
  </si>
  <si>
    <t xml:space="preserve">Trong sinh hoạt/giờ chơi, trẻ biết tên, vài thông tin về bản thân.</t>
  </si>
  <si>
    <t xml:space="preserve">Luyện ở mức “biết tên, vài thông tin về bản thân” thông qua: NBTN tên của bé, bộ phận cơ thể, bé trai–bé gái; soi gương; xem ảnh.</t>
  </si>
  <si>
    <t xml:space="preserve">Trong sinh hoạt/giờ chơi, trẻ biết tên, giới tính của mình.</t>
  </si>
  <si>
    <t xml:space="preserve">Luyện ở mức “biết tên, giới tính của mình” thông qua: NBTN tên của bé, bộ phận cơ thể, bé trai–bé gái; soi gương; xem ảnh.</t>
  </si>
  <si>
    <t xml:space="preserve">Trong sinh hoạt/giờ chơi, trẻ nói được tên, giới tính, vài đặc điểm bản thân.</t>
  </si>
  <si>
    <t xml:space="preserve">Luyện ở mức “nói được tên, giới tính, vài đặc điểm bản thân” thông qua: NBTN tên của bé, bộ phận cơ thể, bé trai–bé gái; soi gương; xem ảnh.</t>
  </si>
  <si>
    <t xml:space="preserve">Mốc cuối 33–36 tháng (theo QĐ 388) — trẻ nhận biết một vài thông tin về bản thân một cách ổn định, chủ động.</t>
  </si>
  <si>
    <t xml:space="preserve">Luyện ở mức “nhận biết một vài thông tin về bản thân” thông qua: NBTN tên của bé, bộ phận cơ thể, bé trai–bé gái; soi gương; xem ảnh.</t>
  </si>
  <si>
    <t xml:space="preserve">Trong sinh hoạt/giờ chơi, trẻ hướng về cô, người thân quen.</t>
  </si>
  <si>
    <t xml:space="preserve">Luyện ở mức “hướng về cô, người thân quen” thông qua: NBTN gia đình, cô giáo, bạn của bé; chơi gia đình; xem album ảnh lớp.</t>
  </si>
  <si>
    <t xml:space="preserve">Trẻ chậm / cần hỗ trợ: lùi về mốc liền trước, tăng làm mẫu – cầm tay – lặp lại; phối hợp phụ huynh; tăng cơ hội giao tiếp; chấp nhận cách phát âm của trẻ.</t>
  </si>
  <si>
    <t xml:space="preserve">Trong sinh hoạt/giờ chơi, trẻ bập bẹ gọi (bà, mẹ, cô) theo cách của trẻ.</t>
  </si>
  <si>
    <t xml:space="preserve">Luyện ở mức “bập bẹ gọi (bà, mẹ, cô) theo cách của trẻ” thông qua: NBTN gia đình, cô giáo, bạn của bé; chơi gia đình; xem album ảnh lớp.</t>
  </si>
  <si>
    <t xml:space="preserve">Trong sinh hoạt/giờ chơi, trẻ nhận ra, gọi tên người thân quen.</t>
  </si>
  <si>
    <t xml:space="preserve">Luyện ở mức “nhận ra, gọi tên người thân quen” thông qua: NBTN gia đình, cô giáo, bạn của bé; chơi gia đình; xem album ảnh lớp.</t>
  </si>
  <si>
    <t xml:space="preserve">Trong sinh hoạt/giờ chơi, trẻ gọi tên cô, vài bạn quen.</t>
  </si>
  <si>
    <t xml:space="preserve">Luyện ở mức “gọi tên cô, vài bạn quen” thông qua: NBTN gia đình, cô giáo, bạn của bé; chơi gia đình; xem album ảnh lớp.</t>
  </si>
  <si>
    <t xml:space="preserve">Trong sinh hoạt/giờ chơi, trẻ nhận biết, gọi tên người thân, cô, bạn.</t>
  </si>
  <si>
    <t xml:space="preserve">Luyện ở mức “nhận biết, gọi tên người thân, cô, bạn” thông qua: NBTN gia đình, cô giáo, bạn của bé; chơi gia đình; xem album ảnh lớp.</t>
  </si>
  <si>
    <t xml:space="preserve">Trong sinh hoạt/giờ chơi, trẻ gọi đúng tên nhiều bạn, người thân hơn.</t>
  </si>
  <si>
    <t xml:space="preserve">Luyện ở mức “gọi đúng tên nhiều bạn, người thân hơn” thông qua: NBTN gia đình, cô giáo, bạn của bé; chơi gia đình; xem album ảnh lớp.</t>
  </si>
  <si>
    <t xml:space="preserve">Trong sinh hoạt/giờ chơi, trẻ nhận biết, gọi tên người thân, cô, bạn khá rõ.</t>
  </si>
  <si>
    <t xml:space="preserve">Luyện ở mức “nhận biết, gọi tên người thân, cô, bạn khá rõ” thông qua: NBTN gia đình, cô giáo, bạn của bé; chơi gia đình; xem album ảnh lớp.</t>
  </si>
  <si>
    <t xml:space="preserve">Mốc cuối 33–36 tháng (theo QĐ 388) — trẻ nhận biết và gọi tên người thân, cô giáo/thẩy giáo, bạn bè một cách ổn định, chủ động.</t>
  </si>
  <si>
    <t xml:space="preserve">Luyện ở mức “nhận biết và gọi tên người thân, cô giáo/thẩy giáo, bạn bè” thông qua: NBTN gia đình, cô giáo, bạn của bé; chơi gia đình; xem album ảnh lớp.</t>
  </si>
  <si>
    <t xml:space="preserve">Trong sinh hoạt/giờ chơi, trẻ vẫy tay, cười với người quen.</t>
  </si>
  <si>
    <t xml:space="preserve">Luyện ở mức “vẫy tay, cười với người quen” thông qua: Hướng dẫn vẫy tay chào; trò chơi làm quen tên bạn; chơi nhóm nhỏ.</t>
  </si>
  <si>
    <t xml:space="preserve">Trẻ chậm / cần hỗ trợ: lùi về mốc liền trước, tăng làm mẫu – cầm tay – lặp lại; tạo nhiều cơ hội giao tiếp; khích lệ dùng lời thay khóc; trẻ nhút nhát cho thời gian.</t>
  </si>
  <si>
    <t xml:space="preserve">Trong sinh hoạt/giờ chơi, trẻ bắt chước chào theo cô.</t>
  </si>
  <si>
    <t xml:space="preserve">Luyện ở mức “bắt chước chào theo cô” thông qua: Hướng dẫn vẫy tay chào; trò chơi làm quen tên bạn; chơi nhóm nhỏ.</t>
  </si>
  <si>
    <t xml:space="preserve">Trong sinh hoạt/giờ chơi, trẻ chào, làm quen người quen mới với cô.</t>
  </si>
  <si>
    <t xml:space="preserve">Luyện ở mức “chào, làm quen người quen mới với cô” thông qua: Hướng dẫn vẫy tay chào; trò chơi làm quen tên bạn; chơi nhóm nhỏ.</t>
  </si>
  <si>
    <t xml:space="preserve">Trong sinh hoạt/giờ chơi, trẻ chủ động vẫy tay, cười chào hơn.</t>
  </si>
  <si>
    <t xml:space="preserve">Luyện ở mức “chủ động vẫy tay, cười chào hơn” thông qua: Hướng dẫn vẫy tay chào; trò chơi làm quen tên bạn; chơi nhóm nhỏ.</t>
  </si>
  <si>
    <t xml:space="preserve">Trong sinh hoạt/giờ chơi, trẻ làm quen người khác bằng cử chỉ, lời nói ngắn.</t>
  </si>
  <si>
    <t xml:space="preserve">Luyện ở mức “làm quen người khác bằng cử chỉ, lời nói ngắn” thông qua: Hướng dẫn vẫy tay chào; trò chơi làm quen tên bạn; chơi nhóm nhỏ.</t>
  </si>
  <si>
    <t xml:space="preserve">Trong sinh hoạt/giờ chơi, trẻ chào hỏi, làm quen bạn mới mạnh dạn hơn.</t>
  </si>
  <si>
    <t xml:space="preserve">Luyện ở mức “chào hỏi, làm quen bạn mới mạnh dạn hơn” thông qua: Hướng dẫn vẫy tay chào; trò chơi làm quen tên bạn; chơi nhóm nhỏ.</t>
  </si>
  <si>
    <t xml:space="preserve">Trong sinh hoạt/giờ chơi, trẻ giao tiếp làm quen khá tự nhiên.</t>
  </si>
  <si>
    <t xml:space="preserve">Luyện ở mức “giao tiếp làm quen khá tự nhiên” thông qua: Hướng dẫn vẫy tay chào; trò chơi làm quen tên bạn; chơi nhóm nhỏ.</t>
  </si>
  <si>
    <t xml:space="preserve">Mốc cuối 33–36 tháng (theo QĐ 388) — trẻ làm quen với người khác bằng cử chỉ, hành động, lời nói đơn giản một cách ổn định, chủ động.</t>
  </si>
  <si>
    <t xml:space="preserve">Luyện ở mức “làm quen với người khác bằng cử chỉ, hành động, lời nói đơn giản” thông qua: Hướng dẫn vẫy tay chào; trò chơi làm quen tên bạn; chơi nhóm nhỏ.</t>
  </si>
  <si>
    <t xml:space="preserve">Trong sinh hoạt/giờ chơi, trẻ chỉ tay, kéo tay cho cô biết điều muốn.</t>
  </si>
  <si>
    <t xml:space="preserve">Luyện ở mức “chỉ tay, kéo tay cho cô biết điều muốn” thông qua: Khích lệ ra hiệu/nói nhu cầu; trò chuyện 'bé muốn gì'; chơi đóng vai giao tiếp.</t>
  </si>
  <si>
    <t xml:space="preserve">Trẻ chậm / cần hỗ trợ: lùi về mốc liền trước, tăng làm mẫu – cầm tay – lặp lại; không làm thay; hỗ trợ trẻ tự bày tỏ; mở rộng câu ngắn dần.</t>
  </si>
  <si>
    <t xml:space="preserve">Trong sinh hoạt/giờ chơi, trẻ dùng tiếng một + cử chỉ với cô.</t>
  </si>
  <si>
    <t xml:space="preserve">Luyện ở mức “dùng tiếng một + cử chỉ với cô” thông qua: Khích lệ ra hiệu/nói nhu cầu; trò chuyện 'bé muốn gì'; chơi đóng vai giao tiếp.</t>
  </si>
  <si>
    <t xml:space="preserve">Trong sinh hoạt/giờ chơi, trẻ ra hiệu/nói nhu cầu với cô, bạn.</t>
  </si>
  <si>
    <t xml:space="preserve">Luyện ở mức “ra hiệu/nói nhu cầu với cô, bạn” thông qua: Khích lệ ra hiệu/nói nhu cầu; trò chuyện 'bé muốn gì'; chơi đóng vai giao tiếp.</t>
  </si>
  <si>
    <t xml:space="preserve">Trong sinh hoạt/giờ chơi, trẻ nói câu ngắn bày tỏ mong muốn.</t>
  </si>
  <si>
    <t xml:space="preserve">Luyện ở mức “nói câu ngắn bày tỏ mong muốn” thông qua: Khích lệ ra hiệu/nói nhu cầu; trò chuyện 'bé muốn gì'; chơi đóng vai giao tiếp.</t>
  </si>
  <si>
    <t xml:space="preserve">Trong sinh hoạt/giờ chơi, trẻ dùng cử chỉ, lời nói nói nhu cầu, cảm xúc.</t>
  </si>
  <si>
    <t xml:space="preserve">Luyện ở mức “dùng cử chỉ, lời nói nói nhu cầu, cảm xúc” thông qua: Khích lệ ra hiệu/nói nhu cầu; trò chuyện 'bé muốn gì'; chơi đóng vai giao tiếp.</t>
  </si>
  <si>
    <t xml:space="preserve">Trong sinh hoạt/giờ chơi, trẻ nói 'con muốn', 'con cần cô giúp'.</t>
  </si>
  <si>
    <t xml:space="preserve">Luyện ở mức “nói 'con muốn', 'con cần cô giúp'” thông qua: Khích lệ ra hiệu/nói nhu cầu; trò chuyện 'bé muốn gì'; chơi đóng vai giao tiếp.</t>
  </si>
  <si>
    <t xml:space="preserve">Trong sinh hoạt/giờ chơi, trẻ diễn đạt nhu cầu, mong muốn, cảm xúc khá rõ.</t>
  </si>
  <si>
    <t xml:space="preserve">Luyện ở mức “diễn đạt nhu cầu, mong muốn, cảm xúc khá rõ” thông qua: Khích lệ ra hiệu/nói nhu cầu; trò chuyện 'bé muốn gì'; chơi đóng vai giao tiếp.</t>
  </si>
  <si>
    <t xml:space="preserve">Mốc cuối 33–36 tháng (theo QĐ 388) — trẻ sử dụng cử chỉ, lời nói đơn giản để thể hiện nhu cầu, mong muốn và cảm xúc với người thân, cô giáo/thầy giáo và bạn bè một cách ổn định, chủ động.</t>
  </si>
  <si>
    <t xml:space="preserve">Luyện ở mức “sử dụng cử chỉ, lời nói đơn giản để thể hiện nhu cầu, mong muốn và cảm xúc với người thân, cô giáo/thầy giáo và bạn bè” thông qua: Khích lệ ra hiệu/nói nhu cầu; trò chuyện 'bé muốn gì'; chơi đóng vai giao tiếp.</t>
  </si>
  <si>
    <t xml:space="preserve">Trong sinh hoạt/giờ chơi, trẻ đưa/đặt đồ vật cho bạn khi cô bảo.</t>
  </si>
  <si>
    <t xml:space="preserve">Luyện ở mức “đưa/đặt đồ vật cho bạn khi cô bảo” thông qua: Khích lệ đưa đồ cho bạn; cùng cất đồ chơi; xem tranh giúp bạn.</t>
  </si>
  <si>
    <t xml:space="preserve">Trẻ chậm / cần hỗ trợ: lùi về mốc liền trước, tăng làm mẫu – cầm tay – lặp lại; tập trung hành vi giúp đơn giản dưới hướng dẫn; khen hành vi hợp tác.</t>
  </si>
  <si>
    <t xml:space="preserve">Trong sinh hoạt/giờ chơi, trẻ bắt chước hành động giúp cùng cô.</t>
  </si>
  <si>
    <t xml:space="preserve">Luyện ở mức “bắt chước hành động giúp cùng cô” thông qua: Khích lệ đưa đồ cho bạn; cùng cất đồ chơi; xem tranh giúp bạn.</t>
  </si>
  <si>
    <t xml:space="preserve">Trong sinh hoạt/giờ chơi, trẻ đưa đồ cho bạn theo lời cô rõ hơn.</t>
  </si>
  <si>
    <t xml:space="preserve">Luyện ở mức “đưa đồ cho bạn theo lời cô rõ hơn” thông qua: Khích lệ đưa đồ cho bạn; cùng cất đồ chơi; xem tranh giúp bạn.</t>
  </si>
  <si>
    <t xml:space="preserve">Trong sinh hoạt/giờ chơi, trẻ giúp bạn việc đơn giản khi cô hướng dẫn.</t>
  </si>
  <si>
    <t xml:space="preserve">Luyện ở mức “giúp bạn việc đơn giản khi cô hướng dẫn” thông qua: Khích lệ đưa đồ cho bạn; cùng cất đồ chơi; xem tranh giúp bạn.</t>
  </si>
  <si>
    <t xml:space="preserve">Trong sinh hoạt/giờ chơi, trẻ giúp đỡ bạn việc nhỏ khi có hướng dẫn.</t>
  </si>
  <si>
    <t xml:space="preserve">Luyện ở mức “giúp đỡ bạn việc nhỏ khi có hướng dẫn” thông qua: Khích lệ đưa đồ cho bạn; cùng cất đồ chơi; xem tranh giúp bạn.</t>
  </si>
  <si>
    <t xml:space="preserve">Trong sinh hoạt/giờ chơi, trẻ chủ động giúp bạn hơn khi cô gợi ý.</t>
  </si>
  <si>
    <t xml:space="preserve">Luyện ở mức “chủ động giúp bạn hơn khi cô gợi ý” thông qua: Khích lệ đưa đồ cho bạn; cùng cất đồ chơi; xem tranh giúp bạn.</t>
  </si>
  <si>
    <t xml:space="preserve">Trong sinh hoạt/giờ chơi, trẻ giúp đỡ bạn khá tự nhiên khi được hướng dẫn.</t>
  </si>
  <si>
    <t xml:space="preserve">Luyện ở mức “giúp đỡ bạn khá tự nhiên khi được hướng dẫn” thông qua: Khích lệ đưa đồ cho bạn; cùng cất đồ chơi; xem tranh giúp bạn.</t>
  </si>
  <si>
    <t xml:space="preserve">Mốc cuối 33–36 tháng (theo QĐ 388) — trẻ giúp đỡ bạn khi có sự hướng dẫn của người lớn một cách ổn định, chủ động.</t>
  </si>
  <si>
    <t xml:space="preserve">Luyện ở mức “giúp đỡ bạn khi có sự hướng dẫn của người lớn” thông qua: Khích lệ đưa đồ cho bạn; cùng cất đồ chơi; xem tranh giúp bạn.</t>
  </si>
  <si>
    <t xml:space="preserve">Trong sinh hoạt/giờ chơi, trẻ nhìn theo khi bạn khóc/cười.</t>
  </si>
  <si>
    <t xml:space="preserve">Luyện ở mức “nhìn theo khi bạn khóc/cười” thông qua: Hỏi 'bạn vui hay buồn'; xem tranh cảm xúc; quan sát cảm xúc bạn khi chơi.</t>
  </si>
  <si>
    <t xml:space="preserve">Trẻ chậm / cần hỗ trợ: lùi về mốc liền trước, tăng làm mẫu – cầm tay – lặp lại; cô gọi tên cảm xúc của trẻ và bạn trong tình huống thực.</t>
  </si>
  <si>
    <t xml:space="preserve">Trong sinh hoạt/giờ chơi, trẻ phản ứng (chú ý) với cảm xúc của bạn.</t>
  </si>
  <si>
    <t xml:space="preserve">Luyện ở mức “phản ứng (chú ý) với cảm xúc của bạn” thông qua: Hỏi 'bạn vui hay buồn'; xem tranh cảm xúc; quan sát cảm xúc bạn khi chơi.</t>
  </si>
  <si>
    <t xml:space="preserve">Trong sinh hoạt/giờ chơi, trẻ chú ý nét mặt cô, bạn khi cô chỉ.</t>
  </si>
  <si>
    <t xml:space="preserve">Luyện ở mức “chú ý nét mặt cô, bạn khi cô chỉ” thông qua: Hỏi 'bạn vui hay buồn'; xem tranh cảm xúc; quan sát cảm xúc bạn khi chơi.</t>
  </si>
  <si>
    <t xml:space="preserve">Trong sinh hoạt/giờ chơi, trẻ nhận ra bạn vui/buồn khi cô gợi.</t>
  </si>
  <si>
    <t xml:space="preserve">Luyện ở mức “nhận ra bạn vui/buồn khi cô gợi” thông qua: Hỏi 'bạn vui hay buồn'; xem tranh cảm xúc; quan sát cảm xúc bạn khi chơi.</t>
  </si>
  <si>
    <t xml:space="preserve">Trong sinh hoạt/giờ chơi, trẻ nhận ra vài cảm xúc của người khác.</t>
  </si>
  <si>
    <t xml:space="preserve">Luyện ở mức “nhận ra vài cảm xúc của người khác” thông qua: Hỏi 'bạn vui hay buồn'; xem tranh cảm xúc; quan sát cảm xúc bạn khi chơi.</t>
  </si>
  <si>
    <t xml:space="preserve">Trong sinh hoạt/giờ chơi, trẻ gọi tên cảm xúc vui/buồn của bạn.</t>
  </si>
  <si>
    <t xml:space="preserve">Luyện ở mức “gọi tên cảm xúc vui/buồn của bạn” thông qua: Hỏi 'bạn vui hay buồn'; xem tranh cảm xúc; quan sát cảm xúc bạn khi chơi.</t>
  </si>
  <si>
    <t xml:space="preserve">Trong sinh hoạt/giờ chơi, trẻ nhận ra, gọi tên nhiều cảm xúc người khác hơn.</t>
  </si>
  <si>
    <t xml:space="preserve">Luyện ở mức “nhận ra, gọi tên nhiều cảm xúc người khác hơn” thông qua: Hỏi 'bạn vui hay buồn'; xem tranh cảm xúc; quan sát cảm xúc bạn khi chơi.</t>
  </si>
  <si>
    <t xml:space="preserve">Mốc cuối 33–36 tháng (theo QĐ 388) — trẻ nhận ra và gọi tên một số cảm xúc của người khác một cách ổn định, chủ động.</t>
  </si>
  <si>
    <t xml:space="preserve">Luyện ở mức “nhận ra và gọi tên một số cảm xúc của người khác” thông qua: Hỏi 'bạn vui hay buồn'; xem tranh cảm xúc; quan sát cảm xúc bạn khi chơi.</t>
  </si>
  <si>
    <t xml:space="preserve">Trong sinh hoạt/giờ chơi, trẻ ôm, nép vào cô/người thân.</t>
  </si>
  <si>
    <t xml:space="preserve">Luyện ở mức “ôm, nép vào cô/người thân” thông qua: Đón trẻ ân cần; bài hát Cả nhà thương nhau; chơi chăm sóc em bé; tặng đồ cho bạn.</t>
  </si>
  <si>
    <t xml:space="preserve">Trẻ chậm / cần hỗ trợ: lùi về mốc liền trước, tăng làm mẫu – cầm tay – lặp lại; tạo môi trường giàu cảm xúc tích cực; động viên trẻ thể hiện tình cảm.</t>
  </si>
  <si>
    <t xml:space="preserve">Trong sinh hoạt/giờ chơi, trẻ cười, đưa tay đòi bế người quen.</t>
  </si>
  <si>
    <t xml:space="preserve">Luyện ở mức “cười, đưa tay đòi bế người quen” thông qua: Đón trẻ ân cần; bài hát Cả nhà thương nhau; chơi chăm sóc em bé; tặng đồ cho bạn.</t>
  </si>
  <si>
    <t xml:space="preserve">Trong sinh hoạt/giờ chơi, trẻ thích gần, thể hiện tình cảm với người quen.</t>
  </si>
  <si>
    <t xml:space="preserve">Luyện ở mức “thích gần, thể hiện tình cảm với người quen” thông qua: Đón trẻ ân cần; bài hát Cả nhà thương nhau; chơi chăm sóc em bé; tặng đồ cho bạn.</t>
  </si>
  <si>
    <t xml:space="preserve">Trong sinh hoạt/giờ chơi, trẻ làm cử chỉ thân thiện với cô, bạn.</t>
  </si>
  <si>
    <t xml:space="preserve">Luyện ở mức “làm cử chỉ thân thiện với cô, bạn” thông qua: Đón trẻ ân cần; bài hát Cả nhà thương nhau; chơi chăm sóc em bé; tặng đồ cho bạn.</t>
  </si>
  <si>
    <t xml:space="preserve">Trong sinh hoạt/giờ chơi, trẻ thể hiện tình cảm yêu quý với người thân, cô, bạn.</t>
  </si>
  <si>
    <t xml:space="preserve">Luyện ở mức “thể hiện tình cảm yêu quý với người thân, cô, bạn” thông qua: Đón trẻ ân cần; bài hát Cả nhà thương nhau; chơi chăm sóc em bé; tặng đồ cho bạn.</t>
  </si>
  <si>
    <t xml:space="preserve">Trong sinh hoạt/giờ chơi, trẻ thể hiện gắn bó qua hành động, lời nói ngắn.</t>
  </si>
  <si>
    <t xml:space="preserve">Luyện ở mức “thể hiện gắn bó qua hành động, lời nói ngắn” thông qua: Đón trẻ ân cần; bài hát Cả nhà thương nhau; chơi chăm sóc em bé; tặng đồ cho bạn.</t>
  </si>
  <si>
    <t xml:space="preserve">Trong sinh hoạt/giờ chơi, trẻ thể hiện tình cảm yêu quý khá rõ qua lời, hành động.</t>
  </si>
  <si>
    <t xml:space="preserve">Luyện ở mức “thể hiện tình cảm yêu quý khá rõ qua lời, hành động” thông qua: Đón trẻ ân cần; bài hát Cả nhà thương nhau; chơi chăm sóc em bé; tặng đồ cho bạn.</t>
  </si>
  <si>
    <t xml:space="preserve">Mốc cuối 33–36 tháng (theo QĐ 388) — trẻ thể hiện tình cảm yêu quý, gắn bó với người thân, cô giáo/thầy giáo và bạn bè qua hành động, lời nói một cách ổn định, chủ động.</t>
  </si>
  <si>
    <t xml:space="preserve">Luyện ở mức “thể hiện tình cảm yêu quý, gắn bó với người thân, cô giáo/thầy giáo và bạn bè qua hành động, lời nói” thông qua: Đón trẻ ân cần; bài hát Cả nhà thương nhau; chơi chăm sóc em bé; tặng đồ cho bạn.</t>
  </si>
  <si>
    <t xml:space="preserve">Trong sinh hoạt/giờ chơi, trẻ dừng cào/cắn khi cô nhắc và hướng sang việc khác.</t>
  </si>
  <si>
    <t xml:space="preserve">Luyện ở mức “dừng cào/cắn khi cô nhắc và hướng sang việc khác” thông qua: Nhắc chơi nhẹ nhàng; xem tranh hành vi nên/không nên; chơi nhóm nhỏ.</t>
  </si>
  <si>
    <t xml:space="preserve">Trẻ chậm / cần hỗ trợ: lùi về mốc liền trước, tăng làm mẫu – cầm tay – lặp lại; hướng dẫn dùng cử chỉ thay đánh, cắn; phối hợp phụ huynh; kịp thời ngăn hành vi.</t>
  </si>
  <si>
    <t xml:space="preserve">Trong sinh hoạt/giờ chơi, trẻ ít làm đau bạn hơn khi được nhắc.</t>
  </si>
  <si>
    <t xml:space="preserve">Luyện ở mức “ít làm đau bạn hơn khi được nhắc” thông qua: Nhắc chơi nhẹ nhàng; xem tranh hành vi nên/không nên; chơi nhóm nhỏ.</t>
  </si>
  <si>
    <t xml:space="preserve">Trong sinh hoạt/giờ chơi, trẻ dừng hành vi làm đau khi cô nhắc rõ.</t>
  </si>
  <si>
    <t xml:space="preserve">Luyện ở mức “dừng hành vi làm đau khi cô nhắc rõ” thông qua: Nhắc chơi nhẹ nhàng; xem tranh hành vi nên/không nên; chơi nhóm nhỏ.</t>
  </si>
  <si>
    <t xml:space="preserve">Trong sinh hoạt/giờ chơi, trẻ chơi nhẹ nhàng hơn với bạn.</t>
  </si>
  <si>
    <t xml:space="preserve">Luyện ở mức “chơi nhẹ nhàng hơn với bạn” thông qua: Nhắc chơi nhẹ nhàng; xem tranh hành vi nên/không nên; chơi nhóm nhỏ.</t>
  </si>
  <si>
    <t xml:space="preserve">Trong sinh hoạt/giờ chơi, trẻ hạn chế đánh, cắn, xô khi được nhắc.</t>
  </si>
  <si>
    <t xml:space="preserve">Luyện ở mức “hạn chế đánh, cắn, xô khi được nhắc” thông qua: Nhắc chơi nhẹ nhàng; xem tranh hành vi nên/không nên; chơi nhóm nhỏ.</t>
  </si>
  <si>
    <t xml:space="preserve">Trong sinh hoạt/giờ chơi, trẻ chơi hòa thuận, ít làm đau bạn.</t>
  </si>
  <si>
    <t xml:space="preserve">Luyện ở mức “chơi hòa thuận, ít làm đau bạn” thông qua: Nhắc chơi nhẹ nhàng; xem tranh hành vi nên/không nên; chơi nhóm nhỏ.</t>
  </si>
  <si>
    <t xml:space="preserve">Trong sinh hoạt/giờ chơi, trẻ không làm đau bạn khá tự giác.</t>
  </si>
  <si>
    <t xml:space="preserve">Luyện ở mức “không làm đau bạn khá tự giác” thông qua: Nhắc chơi nhẹ nhàng; xem tranh hành vi nên/không nên; chơi nhóm nhỏ.</t>
  </si>
  <si>
    <t xml:space="preserve">Mốc cuối 33–36 tháng (theo QĐ 388) — trẻ không làm đau người thân, cô giáo và bạn bè: đánh, cắn, xô đẩy một cách ổn định, chủ động.</t>
  </si>
  <si>
    <t xml:space="preserve">Luyện ở mức “không làm đau người thân, cô giáo và bạn bè: đánh, cắn, xô đẩy” thông qua: Nhắc chơi nhẹ nhàng; xem tranh hành vi nên/không nên; chơi nhóm nhỏ.</t>
  </si>
  <si>
    <t xml:space="preserve">Trong sinh hoạt/giờ chơi, trẻ chấp nhận có bạn bên cạnh với cô hỗ trợ.</t>
  </si>
  <si>
    <t xml:space="preserve">Luyện ở mức “chấp nhận có bạn bên cạnh với cô hỗ trợ” thông qua: Chơi cạnh bạn (xếp khối, xâu hạt) có hỗ trợ; cùng cất đồ chơi; chơi nhóm nhỏ.</t>
  </si>
  <si>
    <t xml:space="preserve">Trẻ chậm / cần hỗ trợ: lùi về mốc liền trước, tăng làm mẫu – cầm tay – lặp lại; khích lệ chơi cạnh bạn ngắn rồi tăng dần; khen hành vi hợp tác.</t>
  </si>
  <si>
    <t xml:space="preserve">Trong sinh hoạt/giờ chơi, trẻ chơi cạnh bạn thời gian ngắn.</t>
  </si>
  <si>
    <t xml:space="preserve">Luyện ở mức “chơi cạnh bạn thời gian ngắn” thông qua: Chơi cạnh bạn (xếp khối, xâu hạt) có hỗ trợ; cùng cất đồ chơi; chơi nhóm nhỏ.</t>
  </si>
  <si>
    <t xml:space="preserve">Trong sinh hoạt/giờ chơi, trẻ chơi cạnh bạn lâu hơn với hỗ trợ.</t>
  </si>
  <si>
    <t xml:space="preserve">Luyện ở mức “chơi cạnh bạn lâu hơn với hỗ trợ” thông qua: Chơi cạnh bạn (xếp khối, xâu hạt) có hỗ trợ; cùng cất đồ chơi; chơi nhóm nhỏ.</t>
  </si>
  <si>
    <t xml:space="preserve">Trong sinh hoạt/giờ chơi, trẻ chơi cạnh bạn, ít tranh giành.</t>
  </si>
  <si>
    <t xml:space="preserve">Luyện ở mức “chơi cạnh bạn, ít tranh giành” thông qua: Chơi cạnh bạn (xếp khối, xâu hạt) có hỗ trợ; cùng cất đồ chơi; chơi nhóm nhỏ.</t>
  </si>
  <si>
    <t xml:space="preserve">Trong sinh hoạt/giờ chơi, trẻ chơi cạnh bạn, không tranh giành (có nhắc).</t>
  </si>
  <si>
    <t xml:space="preserve">Luyện ở mức “chơi cạnh bạn, không tranh giành (có nhắc)” thông qua: Chơi cạnh bạn (xếp khối, xâu hạt) có hỗ trợ; cùng cất đồ chơi; chơi nhóm nhỏ.</t>
  </si>
  <si>
    <t xml:space="preserve">Trong sinh hoạt/giờ chơi, trẻ chơi cạnh bạn, biết chờ với hỗ trợ.</t>
  </si>
  <si>
    <t xml:space="preserve">Luyện ở mức “chơi cạnh bạn, biết chờ với hỗ trợ” thông qua: Chơi cạnh bạn (xếp khối, xâu hạt) có hỗ trợ; cùng cất đồ chơi; chơi nhóm nhỏ.</t>
  </si>
  <si>
    <t xml:space="preserve">Trong sinh hoạt/giờ chơi, trẻ chơi cạnh bạn hòa thuận khá tốt.</t>
  </si>
  <si>
    <t xml:space="preserve">Luyện ở mức “chơi cạnh bạn hòa thuận khá tốt” thông qua: Chơi cạnh bạn (xếp khối, xâu hạt) có hỗ trợ; cùng cất đồ chơi; chơi nhóm nhỏ.</t>
  </si>
  <si>
    <t xml:space="preserve">Mốc cuối 33–36 tháng (theo QĐ 388) — trẻ biết chơi cạnh bạn, không tranh giành với bạn một cách ổn định, chủ động.</t>
  </si>
  <si>
    <t xml:space="preserve">Luyện ở mức “biết chơi cạnh bạn, không tranh giành với bạn” thông qua: Chơi cạnh bạn (xếp khối, xâu hạt) có hỗ trợ; cùng cất đồ chơi; chơi nhóm nhỏ.</t>
  </si>
  <si>
    <t xml:space="preserve">Trong sinh hoạt/giờ chơi, trẻ khóc/kéo tay nhờ cô giúp khi gặp khó.</t>
  </si>
  <si>
    <t xml:space="preserve">Luyện ở mức “khóc/kéo tay nhờ cô giúp khi gặp khó” thông qua: Khích lệ ra hiệu/nói khi cần; nhờ cô mở hộp, lấy đồ; xem tranh tình huống cần giúp.</t>
  </si>
  <si>
    <t xml:space="preserve">Trẻ chậm / cần hỗ trợ: lùi về mốc liền trước, tăng làm mẫu – cầm tay – lặp lại; không làm thay ngay; tạo cơ hội để trẻ chủ động ra hiệu nhờ giúp.</t>
  </si>
  <si>
    <t xml:space="preserve">Trong sinh hoạt/giờ chơi, trẻ chỉ, đưa đồ vật nhờ cô giúp.</t>
  </si>
  <si>
    <t xml:space="preserve">Luyện ở mức “chỉ, đưa đồ vật nhờ cô giúp” thông qua: Khích lệ ra hiệu/nói khi cần; nhờ cô mở hộp, lấy đồ; xem tranh tình huống cần giúp.</t>
  </si>
  <si>
    <t xml:space="preserve">Trong sinh hoạt/giờ chơi, trẻ ra hiệu rõ hơn khi cần giúp.</t>
  </si>
  <si>
    <t xml:space="preserve">Luyện ở mức “ra hiệu rõ hơn khi cần giúp” thông qua: Khích lệ ra hiệu/nói khi cần; nhờ cô mở hộp, lấy đồ; xem tranh tình huống cần giúp.</t>
  </si>
  <si>
    <t xml:space="preserve">Trong sinh hoạt/giờ chơi, trẻ nói tiếng/câu ngắn nhờ cô giúp.</t>
  </si>
  <si>
    <t xml:space="preserve">Luyện ở mức “nói tiếng/câu ngắn nhờ cô giúp” thông qua: Khích lệ ra hiệu/nói khi cần; nhờ cô mở hộp, lấy đồ; xem tranh tình huống cần giúp.</t>
  </si>
  <si>
    <t xml:space="preserve">Trong sinh hoạt/giờ chơi, trẻ yêu cầu giúp đỡ bằng cử chỉ + lời.</t>
  </si>
  <si>
    <t xml:space="preserve">Luyện ở mức “yêu cầu giúp đỡ bằng cử chỉ + lời” thông qua: Khích lệ ra hiệu/nói khi cần; nhờ cô mở hộp, lấy đồ; xem tranh tình huống cần giúp.</t>
  </si>
  <si>
    <t xml:space="preserve">Trong sinh hoạt/giờ chơi, trẻ nói 'cô giúp con' khi cần.</t>
  </si>
  <si>
    <t xml:space="preserve">Luyện ở mức “nói 'cô giúp con' khi cần” thông qua: Khích lệ ra hiệu/nói khi cần; nhờ cô mở hộp, lấy đồ; xem tranh tình huống cần giúp.</t>
  </si>
  <si>
    <t xml:space="preserve">Trong sinh hoạt/giờ chơi, trẻ chủ động nhờ giúp đỡ khá rõ ràng.</t>
  </si>
  <si>
    <t xml:space="preserve">Luyện ở mức “chủ động nhờ giúp đỡ khá rõ ràng” thông qua: Khích lệ ra hiệu/nói khi cần; nhờ cô mở hộp, lấy đồ; xem tranh tình huống cần giúp.</t>
  </si>
  <si>
    <t xml:space="preserve">Mốc cuối 33–36 tháng (theo QĐ 388) — trẻ thể hiện lời nói/cử chỉ/hành động để yêu cầu người khác giúp đỡ một cách ổn định, chủ động.</t>
  </si>
  <si>
    <t xml:space="preserve">Luyện ở mức “thể hiện lời nói/cử chỉ/hành động để yêu cầu người khác giúp đỡ” thông qua: Khích lệ ra hiệu/nói khi cần; nhờ cô mở hộp, lấy đồ; xem tranh tình huống cần giúp.</t>
  </si>
  <si>
    <t xml:space="preserve">Trong sinh hoạt/giờ chơi, trẻ bắt chước vẫy tay chào theo cô.</t>
  </si>
  <si>
    <t xml:space="preserve">Luyện ở mức “bắt chước vẫy tay chào theo cô” thông qua: Hướng dẫn vẫy tay chào, 'ạ'; thơ về lời chào; thực hành chào khi đón–trả.</t>
  </si>
  <si>
    <t xml:space="preserve">Trẻ chậm / cần hỗ trợ: lùi về mốc liền trước, tăng làm mẫu – cầm tay – lặp lại; cô và người lớn làm gương; phối hợp phụ huynh rèn nề nếp giao tiếp.</t>
  </si>
  <si>
    <t xml:space="preserve">Trong sinh hoạt/giờ chơi, trẻ bắt chước 'ạ', cúi đầu theo cô.</t>
  </si>
  <si>
    <t xml:space="preserve">Luyện ở mức “bắt chước 'ạ', cúi đầu theo cô” thông qua: Hướng dẫn vẫy tay chào, 'ạ'; thơ về lời chào; thực hành chào khi đón–trả.</t>
  </si>
  <si>
    <t xml:space="preserve">Trong sinh hoạt/giờ chơi, trẻ chào, 'ạ' trong tình huống quen thuộc.</t>
  </si>
  <si>
    <t xml:space="preserve">Luyện ở mức “chào, 'ạ' trong tình huống quen thuộc” thông qua: Hướng dẫn vẫy tay chào, 'ạ'; thơ về lời chào; thực hành chào khi đón–trả.</t>
  </si>
  <si>
    <t xml:space="preserve">Trong sinh hoạt/giờ chơi, trẻ chào hỏi lễ phép với nhắc của cô.</t>
  </si>
  <si>
    <t xml:space="preserve">Luyện ở mức “chào hỏi lễ phép với nhắc của cô” thông qua: Hướng dẫn vẫy tay chào, 'ạ'; thơ về lời chào; thực hành chào khi đón–trả.</t>
  </si>
  <si>
    <t xml:space="preserve">Trong sinh hoạt/giờ chơi, trẻ thể hiện lễ phép trong giao tiếp (có nhắc).</t>
  </si>
  <si>
    <t xml:space="preserve">Luyện ở mức “thể hiện lễ phép trong giao tiếp (có nhắc)” thông qua: Hướng dẫn vẫy tay chào, 'ạ'; thơ về lời chào; thực hành chào khi đón–trả.</t>
  </si>
  <si>
    <t xml:space="preserve">Trong sinh hoạt/giờ chơi, trẻ chủ động chào, 'ạ', cảm ơn hơn.</t>
  </si>
  <si>
    <t xml:space="preserve">Luyện ở mức “chủ động chào, 'ạ', cảm ơn hơn” thông qua: Hướng dẫn vẫy tay chào, 'ạ'; thơ về lời chào; thực hành chào khi đón–trả.</t>
  </si>
  <si>
    <t xml:space="preserve">Trong sinh hoạt/giờ chơi, trẻ lễ phép trong giao tiếp khá tự nhiên.</t>
  </si>
  <si>
    <t xml:space="preserve">Luyện ở mức “lễ phép trong giao tiếp khá tự nhiên” thông qua: Hướng dẫn vẫy tay chào, 'ạ'; thơ về lời chào; thực hành chào khi đón–trả.</t>
  </si>
  <si>
    <t xml:space="preserve">Mốc cuối 33–36 tháng (theo QĐ 388) — trẻ thể hiện sự lễ phép trong giao tiếp với người thân, cô giáo/thầy giáo một cách ổn định, chủ động.</t>
  </si>
  <si>
    <t xml:space="preserve">Luyện ở mức “thể hiện sự lễ phép trong giao tiếp với người thân, cô giáo/thầy giáo” thông qua: Hướng dẫn vẫy tay chào, 'ạ'; thơ về lời chào; thực hành chào khi đón–trả.</t>
  </si>
  <si>
    <t xml:space="preserve">Trong sinh hoạt/giờ chơi, trẻ ngồi vào chỗ theo cô khi có cử chỉ.</t>
  </si>
  <si>
    <t xml:space="preserve">Luyện ở mức “ngồi vào chỗ theo cô khi có cử chỉ” thông qua: Trò chuyện 'bé ngồi đúng chỗ'; làm theo hiệu lệnh kèm cử chỉ; chơi theo lượt.</t>
  </si>
  <si>
    <t xml:space="preserve">Trẻ chậm / cần hỗ trợ: lùi về mốc liền trước, tăng làm mẫu – cầm tay – lặp lại; hướng dẫn nhẹ nhàng, nhất quán; khen khi trẻ thực hiện tốt.</t>
  </si>
  <si>
    <t xml:space="preserve">Trong sinh hoạt/giờ chơi, trẻ theo nề nếp giờ ăn/ngủ quen thuộc.</t>
  </si>
  <si>
    <t xml:space="preserve">Luyện ở mức “theo nề nếp giờ ăn/ngủ quen thuộc” thông qua: Trò chuyện 'bé ngồi đúng chỗ'; làm theo hiệu lệnh kèm cử chỉ; chơi theo lượt.</t>
  </si>
  <si>
    <t xml:space="preserve">Trong sinh hoạt/giờ chơi, trẻ thực hiện hiệu lệnh kèm cử chỉ.</t>
  </si>
  <si>
    <t xml:space="preserve">Luyện ở mức “thực hiện hiệu lệnh kèm cử chỉ” thông qua: Trò chuyện 'bé ngồi đúng chỗ'; làm theo hiệu lệnh kèm cử chỉ; chơi theo lượt.</t>
  </si>
  <si>
    <t xml:space="preserve">Trong sinh hoạt/giờ chơi, trẻ theo vài quy định đơn giản của lớp.</t>
  </si>
  <si>
    <t xml:space="preserve">Luyện ở mức “theo vài quy định đơn giản của lớp” thông qua: Trò chuyện 'bé ngồi đúng chỗ'; làm theo hiệu lệnh kèm cử chỉ; chơi theo lượt.</t>
  </si>
  <si>
    <t xml:space="preserve">Trong sinh hoạt/giờ chơi, trẻ thực hiện quy định đơn giản ở nhóm lớp.</t>
  </si>
  <si>
    <t xml:space="preserve">Luyện ở mức “thực hiện quy định đơn giản ở nhóm lớp” thông qua: Trò chuyện 'bé ngồi đúng chỗ'; làm theo hiệu lệnh kèm cử chỉ; chơi theo lượt.</t>
  </si>
  <si>
    <t xml:space="preserve">Trong sinh hoạt/giờ chơi, trẻ chờ đến lượt, theo quy định với nhắc ít.</t>
  </si>
  <si>
    <t xml:space="preserve">Luyện ở mức “chờ đến lượt, theo quy định với nhắc ít” thông qua: Trò chuyện 'bé ngồi đúng chỗ'; làm theo hiệu lệnh kèm cử chỉ; chơi theo lượt.</t>
  </si>
  <si>
    <t xml:space="preserve">Trong sinh hoạt/giờ chơi, trẻ thực hiện quy định nhóm lớp khá tự giác.</t>
  </si>
  <si>
    <t xml:space="preserve">Luyện ở mức “thực hiện quy định nhóm lớp khá tự giác” thông qua: Trò chuyện 'bé ngồi đúng chỗ'; làm theo hiệu lệnh kèm cử chỉ; chơi theo lượt.</t>
  </si>
  <si>
    <t xml:space="preserve">Mốc cuối 33–36 tháng (theo QĐ 388) — trẻ thực hiện một số quy định đơn giản trong gia đình và nhóm lớp một cách ổn định, chủ động.</t>
  </si>
  <si>
    <t xml:space="preserve">Luyện ở mức “thực hiện một số quy định đơn giản trong gia đình và nhóm lớp” thông qua: Trò chuyện 'bé ngồi đúng chỗ'; làm theo hiệu lệnh kèm cử chỉ; chơi theo lượt.</t>
  </si>
  <si>
    <t xml:space="preserve">Trong sinh hoạt/giờ chơi, trẻ bắt chước bỏ đồ chơi vào rổ cùng cô.</t>
  </si>
  <si>
    <t xml:space="preserve">Luyện ở mức “bắt chước bỏ đồ chơi vào rổ cùng cô” thông qua: Bỏ đồ chơi vào rổ cùng cô; xem tranh bé cất đồ; thi đua cất đồ chơi.</t>
  </si>
  <si>
    <t xml:space="preserve">Trẻ chậm / cần hỗ trợ: lùi về mốc liền trước, tăng làm mẫu – cầm tay – lặp lại; rèn qua bắt chước cô; phối hợp phụ huynh; khen khi trẻ cất dọn.</t>
  </si>
  <si>
    <t xml:space="preserve">Trong sinh hoạt/giờ chơi, trẻ đưa đồ vật cho cô khi được nhắc.</t>
  </si>
  <si>
    <t xml:space="preserve">Luyện ở mức “đưa đồ vật cho cô khi được nhắc” thông qua: Bỏ đồ chơi vào rổ cùng cô; xem tranh bé cất đồ; thi đua cất đồ chơi.</t>
  </si>
  <si>
    <t xml:space="preserve">Trong sinh hoạt/giờ chơi, trẻ bỏ đồ chơi vào rổ sau khi chơi (có cô).</t>
  </si>
  <si>
    <t xml:space="preserve">Luyện ở mức “bỏ đồ chơi vào rổ sau khi chơi (có cô)” thông qua: Bỏ đồ chơi vào rổ cùng cô; xem tranh bé cất đồ; thi đua cất đồ chơi.</t>
  </si>
  <si>
    <t xml:space="preserve">Trong sinh hoạt/giờ chơi, trẻ cất đồ chơi với hướng dẫn rõ hơn.</t>
  </si>
  <si>
    <t xml:space="preserve">Luyện ở mức “cất đồ chơi với hướng dẫn rõ hơn” thông qua: Bỏ đồ chơi vào rổ cùng cô; xem tranh bé cất đồ; thi đua cất đồ chơi.</t>
  </si>
  <si>
    <t xml:space="preserve">Trong sinh hoạt/giờ chơi, trẻ cất đồ chơi, đồ dùng cá nhân với hướng dẫn.</t>
  </si>
  <si>
    <t xml:space="preserve">Luyện ở mức “cất đồ chơi, đồ dùng cá nhân với hướng dẫn” thông qua: Bỏ đồ chơi vào rổ cùng cô; xem tranh bé cất đồ; thi đua cất đồ chơi.</t>
  </si>
  <si>
    <t xml:space="preserve">Trong sinh hoạt/giờ chơi, trẻ cất dọn khá chủ động khi được nhắc.</t>
  </si>
  <si>
    <t xml:space="preserve">Luyện ở mức “cất dọn khá chủ động khi được nhắc” thông qua: Bỏ đồ chơi vào rổ cùng cô; xem tranh bé cất đồ; thi đua cất đồ chơi.</t>
  </si>
  <si>
    <t xml:space="preserve">Trong sinh hoạt/giờ chơi, trẻ cất dọn đồ chơi, đồ dùng khá tự giác.</t>
  </si>
  <si>
    <t xml:space="preserve">Luyện ở mức “cất dọn đồ chơi, đồ dùng khá tự giác” thông qua: Bỏ đồ chơi vào rổ cùng cô; xem tranh bé cất đồ; thi đua cất đồ chơi.</t>
  </si>
  <si>
    <t xml:space="preserve">Mốc cuối 33–36 tháng (theo QĐ 388) — trẻ biết cất dọn đồ chơi, đồ dùng cá nhân sau khi chơi, sử dụng với sự hướng dẫn của người lớn một cách ổn định, chủ động.</t>
  </si>
  <si>
    <t xml:space="preserve">Luyện ở mức “biết cất dọn đồ chơi, đồ dùng cá nhân sau khi chơi, sử dụng với sự hướng dẫn của người lớn” thông qua: Bỏ đồ chơi vào rổ cùng cô; xem tranh bé cất đồ; thi đua cất đồ chơi.</t>
  </si>
  <si>
    <t xml:space="preserve">Trong sinh hoạt/giờ chơi, trẻ quan sát, chạm nhẹ cây/con vật an toàn.</t>
  </si>
  <si>
    <t xml:space="preserve">Luyện ở mức “quan sát, chạm nhẹ cây/con vật an toàn” thông qua: Góc thiên nhiên: tưới cây, chạm lá; cho cá ăn cùng cô; chăm sóc vật nuôi.</t>
  </si>
  <si>
    <t xml:space="preserve">Trẻ chậm / cần hỗ trợ: lùi về mốc liền trước, tăng làm mẫu – cầm tay – lặp lại; khích lệ yêu quý cây, con vật; không làm đau con vật; đảm bảo an toàn.</t>
  </si>
  <si>
    <t xml:space="preserve">Trong sinh hoạt/giờ chơi, trẻ bắt chước cô tưới cây, cho ăn.</t>
  </si>
  <si>
    <t xml:space="preserve">Luyện ở mức “bắt chước cô tưới cây, cho ăn” thông qua: Góc thiên nhiên: tưới cây, chạm lá; cho cá ăn cùng cô; chăm sóc vật nuôi.</t>
  </si>
  <si>
    <t xml:space="preserve">Trong sinh hoạt/giờ chơi, trẻ tưới cây, cho cá ăn cùng cô.</t>
  </si>
  <si>
    <t xml:space="preserve">Luyện ở mức “tưới cây, cho cá ăn cùng cô” thông qua: Góc thiên nhiên: tưới cây, chạm lá; cho cá ăn cùng cô; chăm sóc vật nuôi.</t>
  </si>
  <si>
    <t xml:space="preserve">Trong sinh hoạt/giờ chơi, trẻ chăm sóc cây/con vật đơn giản có hướng dẫn.</t>
  </si>
  <si>
    <t xml:space="preserve">Luyện ở mức “chăm sóc cây/con vật đơn giản có hướng dẫn” thông qua: Góc thiên nhiên: tưới cây, chạm lá; cho cá ăn cùng cô; chăm sóc vật nuôi.</t>
  </si>
  <si>
    <t xml:space="preserve">Trong sinh hoạt/giờ chơi, trẻ thực hiện vài cử chỉ chăm sóc khi được hướng dẫn.</t>
  </si>
  <si>
    <t xml:space="preserve">Luyện ở mức “thực hiện vài cử chỉ chăm sóc khi được hướng dẫn” thông qua: Góc thiên nhiên: tưới cây, chạm lá; cho cá ăn cùng cô; chăm sóc vật nuôi.</t>
  </si>
  <si>
    <t xml:space="preserve">Trong sinh hoạt/giờ chơi, trẻ chăm sóc cây/con vật chủ động hơn.</t>
  </si>
  <si>
    <t xml:space="preserve">Luyện ở mức “chăm sóc cây/con vật chủ động hơn” thông qua: Góc thiên nhiên: tưới cây, chạm lá; cho cá ăn cùng cô; chăm sóc vật nuôi.</t>
  </si>
  <si>
    <t xml:space="preserve">Trong sinh hoạt/giờ chơi, trẻ chăm sóc cây trồng, vật nuôi khá tự nhiên.</t>
  </si>
  <si>
    <t xml:space="preserve">Luyện ở mức “chăm sóc cây trồng, vật nuôi khá tự nhiên” thông qua: Góc thiên nhiên: tưới cây, chạm lá; cho cá ăn cùng cô; chăm sóc vật nuôi.</t>
  </si>
  <si>
    <t xml:space="preserve">Mốc cuối 33–36 tháng (theo QĐ 388) — trẻ thực hiện một số cử chỉ, hành động đơn giản chăm sóc vật nuôi, cây trồng khi được hướng dẫn một cách ổn định, chủ động.</t>
  </si>
  <si>
    <t xml:space="preserve">Luyện ở mức “thực hiện một số cử chỉ, hành động đơn giản chăm sóc vật nuôi, cây trồng khi được hướng dẫn” thông qua: Góc thiên nhiên: tưới cây, chạm lá; cho cá ăn cùng cô; chăm sóc vật nuôi.</t>
  </si>
  <si>
    <t xml:space="preserve">Trong sinh hoạt/giờ chơi, trẻ bắt chước bỏ rác vào thùng cùng cô.</t>
  </si>
  <si>
    <t xml:space="preserve">Luyện ở mức “bắt chước bỏ rác vào thùng cùng cô” thông qua: Bỏ rác vào thùng cùng cô; nhặt lá, giấy; chơi dọn dẹp lớp; hát về môi trường.</t>
  </si>
  <si>
    <t xml:space="preserve">Trẻ chậm / cần hỗ trợ: lùi về mốc liền trước, tăng làm mẫu – cầm tay – lặp lại; hình thành qua bắt chước cô hằng ngày; khen hành vi đúng.</t>
  </si>
  <si>
    <t xml:space="preserve">Trong sinh hoạt/giờ chơi, trẻ cất đồ vào nơi cô chỉ.</t>
  </si>
  <si>
    <t xml:space="preserve">Luyện ở mức “cất đồ vào nơi cô chỉ” thông qua: Bỏ rác vào thùng cùng cô; nhặt lá, giấy; chơi dọn dẹp lớp; hát về môi trường.</t>
  </si>
  <si>
    <t xml:space="preserve">Trong sinh hoạt/giờ chơi, trẻ bỏ rác đúng nơi với nhắc.</t>
  </si>
  <si>
    <t xml:space="preserve">Luyện ở mức “bỏ rác đúng nơi với nhắc” thông qua: Bỏ rác vào thùng cùng cô; nhặt lá, giấy; chơi dọn dẹp lớp; hát về môi trường.</t>
  </si>
  <si>
    <t xml:space="preserve">Trong sinh hoạt/giờ chơi, trẻ bắt chước hành vi giữ môi trường sạch.</t>
  </si>
  <si>
    <t xml:space="preserve">Luyện ở mức “bắt chước hành vi giữ môi trường sạch” thông qua: Bỏ rác vào thùng cùng cô; nhặt lá, giấy; chơi dọn dẹp lớp; hát về môi trường.</t>
  </si>
  <si>
    <t xml:space="preserve">Trong sinh hoạt/giờ chơi, trẻ thực hiện vài hành vi bảo vệ môi trường.</t>
  </si>
  <si>
    <t xml:space="preserve">Luyện ở mức “thực hiện vài hành vi bảo vệ môi trường” thông qua: Bỏ rác vào thùng cùng cô; nhặt lá, giấy; chơi dọn dẹp lớp; hát về môi trường.</t>
  </si>
  <si>
    <t xml:space="preserve">Trong sinh hoạt/giờ chơi, trẻ bỏ rác, cất đồ đúng nơi chủ động hơn.</t>
  </si>
  <si>
    <t xml:space="preserve">Luyện ở mức “bỏ rác, cất đồ đúng nơi chủ động hơn” thông qua: Bỏ rác vào thùng cùng cô; nhặt lá, giấy; chơi dọn dẹp lớp; hát về môi trường.</t>
  </si>
  <si>
    <t xml:space="preserve">Trong sinh hoạt/giờ chơi, trẻ quan tâm giữ môi trường sạch khá tự giác.</t>
  </si>
  <si>
    <t xml:space="preserve">Luyện ở mức “quan tâm giữ môi trường sạch khá tự giác” thông qua: Bỏ rác vào thùng cùng cô; nhặt lá, giấy; chơi dọn dẹp lớp; hát về môi trường.</t>
  </si>
  <si>
    <t xml:space="preserve">Mốc cuối 33–36 tháng (theo QĐ 388) — trẻ thực hiện một số hành vi quan tâm, bảo vệ môi trường xung quanh một cách ổn định, chủ động.</t>
  </si>
  <si>
    <t xml:space="preserve">Luyện ở mức “thực hiện một số hành vi quan tâm, bảo vệ môi trường xung quanh” thông qua: Bỏ rác vào thùng cùng cô; nhặt lá, giấy; chơi dọn dẹp lớp; hát về môi trường.</t>
  </si>
  <si>
    <t xml:space="preserve">Ngôn ngữ</t>
  </si>
  <si>
    <t xml:space="preserve">Trong sinh hoạt/giờ chơi, trẻ làm theo yêu cầu 1 hành động kèm cử chỉ (lại đây).</t>
  </si>
  <si>
    <t xml:space="preserve">Luyện ở mức “làm theo yêu cầu 1 hành động kèm cử chỉ (lại đây)” thông qua: Yêu cầu đơn giản kèm cử chỉ (lại đây, đưa cô); trò chơi nghe–làm theo; NBTN đồ dùng.</t>
  </si>
  <si>
    <t xml:space="preserve">Trẻ chậm / cần hỗ trợ: lùi về mốc liền trước, tăng làm mẫu – cầm tay – lặp lại; dùng câu ngắn kèm cử chỉ; gắn lời nói với tình huống cụ thể; giảm cử chỉ dần.</t>
  </si>
  <si>
    <t xml:space="preserve">Trong sinh hoạt/giờ chơi, trẻ làm theo yêu cầu quen thuộc gắn tình huống.</t>
  </si>
  <si>
    <t xml:space="preserve">Luyện ở mức “làm theo yêu cầu quen thuộc gắn tình huống” thông qua: Yêu cầu đơn giản kèm cử chỉ (lại đây, đưa cô); trò chơi nghe–làm theo; NBTN đồ dùng.</t>
  </si>
  <si>
    <t xml:space="preserve">Trong sinh hoạt/giờ chơi, trẻ làm theo yêu cầu 1 hành động, ít cần cử chỉ.</t>
  </si>
  <si>
    <t xml:space="preserve">Luyện ở mức “làm theo yêu cầu 1 hành động, ít cần cử chỉ” thông qua: Yêu cầu đơn giản kèm cử chỉ (lại đây, đưa cô); trò chơi nghe–làm theo; NBTN đồ dùng.</t>
  </si>
  <si>
    <t xml:space="preserve">Trong sinh hoạt/giờ chơi, trẻ làm theo 1–2 yêu cầu đơn giản bằng lời.</t>
  </si>
  <si>
    <t xml:space="preserve">Luyện ở mức “làm theo 1–2 yêu cầu đơn giản bằng lời” thông qua: Yêu cầu đơn giản kèm cử chỉ (lại đây, đưa cô); trò chơi nghe–làm theo; NBTN đồ dùng.</t>
  </si>
  <si>
    <t xml:space="preserve">Trong sinh hoạt/giờ chơi, trẻ nghe, làm theo hướng dẫn đơn giản bằng lời.</t>
  </si>
  <si>
    <t xml:space="preserve">Luyện ở mức “nghe, làm theo hướng dẫn đơn giản bằng lời” thông qua: Yêu cầu đơn giản kèm cử chỉ (lại đây, đưa cô); trò chơi nghe–làm theo; NBTN đồ dùng.</t>
  </si>
  <si>
    <t xml:space="preserve">Trong sinh hoạt/giờ chơi, trẻ làm theo 2 yêu cầu liên tiếp đơn giản.</t>
  </si>
  <si>
    <t xml:space="preserve">Luyện ở mức “làm theo 2 yêu cầu liên tiếp đơn giản” thông qua: Yêu cầu đơn giản kèm cử chỉ (lại đây, đưa cô); trò chơi nghe–làm theo; NBTN đồ dùng.</t>
  </si>
  <si>
    <t xml:space="preserve">Trong sinh hoạt/giờ chơi, trẻ hiểu và làm theo hướng dẫn bằng lời khá tốt.</t>
  </si>
  <si>
    <t xml:space="preserve">Luyện ở mức “hiểu và làm theo hướng dẫn bằng lời khá tốt” thông qua: Yêu cầu đơn giản kèm cử chỉ (lại đây, đưa cô); trò chơi nghe–làm theo; NBTN đồ dùng.</t>
  </si>
  <si>
    <t xml:space="preserve">Mốc cuối 33–36 tháng (theo QĐ 388) — trẻ nghe và thực hiện được theo các hướng dẫn đơn giản bằng lời nói một cách ổn định, chủ động.</t>
  </si>
  <si>
    <t xml:space="preserve">Luyện ở mức “nghe và thực hiện được theo các hướng dẫn đơn giản bằng lời nói” thông qua: Yêu cầu đơn giản kèm cử chỉ (lại đây, đưa cô); trò chơi nghe–làm theo; NBTN đồ dùng.</t>
  </si>
  <si>
    <t xml:space="preserve">Trong sinh hoạt/giờ chơi, trẻ nhìn/chỉ vào đối tượng khi cô hỏi 'đâu rồi'.</t>
  </si>
  <si>
    <t xml:space="preserve">Luyện ở mức “nhìn/chỉ vào đối tượng khi cô hỏi 'đâu rồi'” thông qua: NBTN; hỏi 'ai đây, con gì đây'; trẻ nhìn/chỉ trả lời; trò chơi chỉ–đáp.</t>
  </si>
  <si>
    <t xml:space="preserve">Trẻ chậm / cần hỗ trợ: lùi về mốc liền trước, tăng làm mẫu – cầm tay – lặp lại; chấp nhận trả lời bằng nhìn, chỉ tay; tạo nhiều cơ hội giao tiếp.</t>
  </si>
  <si>
    <t xml:space="preserve">Trong sinh hoạt/giờ chơi, trẻ chỉ tay trả lời 'ai đây', 'con gì'.</t>
  </si>
  <si>
    <t xml:space="preserve">Luyện ở mức “chỉ tay trả lời 'ai đây', 'con gì'” thông qua: NBTN; hỏi 'ai đây, con gì đây'; trẻ nhìn/chỉ trả lời; trò chơi chỉ–đáp.</t>
  </si>
  <si>
    <t xml:space="preserve">Trong sinh hoạt/giờ chơi, trẻ chỉ + phát tiếng trả lời câu hỏi đơn giản.</t>
  </si>
  <si>
    <t xml:space="preserve">Luyện ở mức “chỉ + phát tiếng trả lời câu hỏi đơn giản” thông qua: NBTN; hỏi 'ai đây, con gì đây'; trẻ nhìn/chỉ trả lời; trò chơi chỉ–đáp.</t>
  </si>
  <si>
    <t xml:space="preserve">Trong sinh hoạt/giờ chơi, trẻ trả lời câu hỏi quen thuộc bằng tiếng một.</t>
  </si>
  <si>
    <t xml:space="preserve">Luyện ở mức “trả lời câu hỏi quen thuộc bằng tiếng một” thông qua: NBTN; hỏi 'ai đây, con gì đây'; trẻ nhìn/chỉ trả lời; trò chơi chỉ–đáp.</t>
  </si>
  <si>
    <t xml:space="preserve">Trong sinh hoạt/giờ chơi, trẻ hiểu, trả lời câu hỏi đơn giản (tình huống quen).</t>
  </si>
  <si>
    <t xml:space="preserve">Luyện ở mức “hiểu, trả lời câu hỏi đơn giản (tình huống quen)” thông qua: NBTN; hỏi 'ai đây, con gì đây'; trẻ nhìn/chỉ trả lời; trò chơi chỉ–đáp.</t>
  </si>
  <si>
    <t xml:space="preserve">Trong sinh hoạt/giờ chơi, trẻ trả lời câu hỏi bằng câu ngắn.</t>
  </si>
  <si>
    <t xml:space="preserve">Luyện ở mức “trả lời câu hỏi bằng câu ngắn” thông qua: NBTN; hỏi 'ai đây, con gì đây'; trẻ nhìn/chỉ trả lời; trò chơi chỉ–đáp.</t>
  </si>
  <si>
    <t xml:space="preserve">Trong sinh hoạt/giờ chơi, trẻ hiểu, trả lời nhiều câu hỏi đơn giản hơn.</t>
  </si>
  <si>
    <t xml:space="preserve">Luyện ở mức “hiểu, trả lời nhiều câu hỏi đơn giản hơn” thông qua: NBTN; hỏi 'ai đây, con gì đây'; trẻ nhìn/chỉ trả lời; trò chơi chỉ–đáp.</t>
  </si>
  <si>
    <t xml:space="preserve">Mốc cuối 33–36 tháng (theo QĐ 388) — trẻ hiểu và trả lời được câu hỏi đơn giản liên quan đến tình huống quen thuộc một cách ổn định, chủ động.</t>
  </si>
  <si>
    <t xml:space="preserve">Luyện ở mức “hiểu và trả lời được câu hỏi đơn giản liên quan đến tình huống quen thuộc” thông qua: NBTN; hỏi 'ai đây, con gì đây'; trẻ nhìn/chỉ trả lời; trò chơi chỉ–đáp.</t>
  </si>
  <si>
    <t xml:space="preserve">Trong sinh hoạt/giờ chơi, trẻ bập bẹ tiếng một quen thuộc (bà, măm).</t>
  </si>
  <si>
    <t xml:space="preserve">Luyện ở mức “bập bẹ tiếng một quen thuộc (bà, măm)” thông qua: Gọi tên trẻ, đồ vật; NBTN; trẻ phát âm theo cô; trò chơi gọi tên đồ vật.</t>
  </si>
  <si>
    <t xml:space="preserve">Trẻ chậm / cần hỗ trợ: lùi về mốc liền trước, tăng làm mẫu – cầm tay – lặp lại; sửa phát âm nhẹ nhàng; khích lệ lặp lại; chấp nhận cách phát âm của trẻ giai đoạn đầu.</t>
  </si>
  <si>
    <t xml:space="preserve">Trong sinh hoạt/giờ chơi, trẻ phát âm tiếng một theo cô (bóng, gà).</t>
  </si>
  <si>
    <t xml:space="preserve">Luyện ở mức “phát âm tiếng một theo cô (bóng, gà)” thông qua: Gọi tên trẻ, đồ vật; NBTN; trẻ phát âm theo cô; trò chơi gọi tên đồ vật.</t>
  </si>
  <si>
    <t xml:space="preserve">Trong sinh hoạt/giờ chơi, trẻ phát âm nhiều tiếng quen thuộc hơn.</t>
  </si>
  <si>
    <t xml:space="preserve">Luyện ở mức “phát âm nhiều tiếng quen thuộc hơn” thông qua: Gọi tên trẻ, đồ vật; NBTN; trẻ phát âm theo cô; trò chơi gọi tên đồ vật.</t>
  </si>
  <si>
    <t xml:space="preserve">Trong sinh hoạt/giờ chơi, trẻ phát âm tiếng quen thuộc rõ hơn (ngôn ngữ tự trị giảm).</t>
  </si>
  <si>
    <t xml:space="preserve">Luyện ở mức “phát âm tiếng quen thuộc rõ hơn (ngôn ngữ tự trị giảm)” thông qua: Gọi tên trẻ, đồ vật; NBTN; trẻ phát âm theo cô; trò chơi gọi tên đồ vật.</t>
  </si>
  <si>
    <t xml:space="preserve">Trong sinh hoạt/giờ chơi, trẻ phát âm rõ vài tiếng quen thuộc.</t>
  </si>
  <si>
    <t xml:space="preserve">Luyện ở mức “phát âm rõ vài tiếng quen thuộc” thông qua: Gọi tên trẻ, đồ vật; NBTN; trẻ phát âm theo cô; trò chơi gọi tên đồ vật.</t>
  </si>
  <si>
    <t xml:space="preserve">Trong sinh hoạt/giờ chơi, trẻ phát âm rõ nhiều tiếng quen thuộc.</t>
  </si>
  <si>
    <t xml:space="preserve">Luyện ở mức “phát âm rõ nhiều tiếng quen thuộc” thông qua: Gọi tên trẻ, đồ vật; NBTN; trẻ phát âm theo cô; trò chơi gọi tên đồ vật.</t>
  </si>
  <si>
    <t xml:space="preserve">Trong sinh hoạt/giờ chơi, trẻ phát âm rõ, ít ngọng tiếng quen thuộc.</t>
  </si>
  <si>
    <t xml:space="preserve">Luyện ở mức “phát âm rõ, ít ngọng tiếng quen thuộc” thông qua: Gọi tên trẻ, đồ vật; NBTN; trẻ phát âm theo cô; trò chơi gọi tên đồ vật.</t>
  </si>
  <si>
    <t xml:space="preserve">Mốc cuối 33–36 tháng (theo QĐ 388) — trẻ phát âm rõ các tiếng quen thuộc một cách ổn định, chủ động.</t>
  </si>
  <si>
    <t xml:space="preserve">Luyện ở mức “phát âm rõ các tiếng quen thuộc” thông qua: Gọi tên trẻ, đồ vật; NBTN; trẻ phát âm theo cô; trò chơi gọi tên đồ vật.</t>
  </si>
  <si>
    <t xml:space="preserve">Trong sinh hoạt/giờ chơi, trẻ dùng câu một tiếng (măm, bế) bày tỏ ý muốn.</t>
  </si>
  <si>
    <t xml:space="preserve">Luyện ở mức “dùng câu một tiếng (măm, bế) bày tỏ ý muốn” thông qua: Khích lệ nói tiếng một, câu ngắn; làm mẫu câu ngắn; bày tỏ ý muốn khi chơi.</t>
  </si>
  <si>
    <t xml:space="preserve">Trẻ chậm / cần hỗ trợ: lùi về mốc liền trước, tăng làm mẫu – cầm tay – lặp lại; làm mẫu câu ngắn dễ hiểu; mở rộng vốn từ dần; không ép nói câu dài.</t>
  </si>
  <si>
    <t xml:space="preserve">Trong sinh hoạt/giờ chơi, trẻ dùng tiếng một + cử chỉ rõ hơn.</t>
  </si>
  <si>
    <t xml:space="preserve">Luyện ở mức “dùng tiếng một + cử chỉ rõ hơn” thông qua: Khích lệ nói tiếng một, câu ngắn; làm mẫu câu ngắn; bày tỏ ý muốn khi chơi.</t>
  </si>
  <si>
    <t xml:space="preserve">Trong sinh hoạt/giờ chơi, trẻ bắt đầu ghép câu hai tiếng (~18–20th).</t>
  </si>
  <si>
    <t xml:space="preserve">Luyện ở mức “bắt đầu ghép câu hai tiếng (~18–20th)” thông qua: Khích lệ nói tiếng một, câu ngắn; làm mẫu câu ngắn; bày tỏ ý muốn khi chơi.</t>
  </si>
  <si>
    <t xml:space="preserve">Trong sinh hoạt/giờ chơi, trẻ dùng câu hai tiếng bày tỏ ý muốn.</t>
  </si>
  <si>
    <t xml:space="preserve">Luyện ở mức “dùng câu hai tiếng bày tỏ ý muốn” thông qua: Khích lệ nói tiếng một, câu ngắn; làm mẫu câu ngắn; bày tỏ ý muốn khi chơi.</t>
  </si>
  <si>
    <t xml:space="preserve">Trong sinh hoạt/giờ chơi, trẻ dùng câu đơn ngắn với từ quen thuộc.</t>
  </si>
  <si>
    <t xml:space="preserve">Luyện ở mức “dùng câu đơn ngắn với từ quen thuộc” thông qua: Khích lệ nói tiếng một, câu ngắn; làm mẫu câu ngắn; bày tỏ ý muốn khi chơi.</t>
  </si>
  <si>
    <t xml:space="preserve">Trong sinh hoạt/giờ chơi, trẻ dùng câu đơn 2–3 từ diễn đạt ý muốn.</t>
  </si>
  <si>
    <t xml:space="preserve">Luyện ở mức “dùng câu đơn 2–3 từ diễn đạt ý muốn” thông qua: Khích lệ nói tiếng một, câu ngắn; làm mẫu câu ngắn; bày tỏ ý muốn khi chơi.</t>
  </si>
  <si>
    <t xml:space="preserve">Trong sinh hoạt/giờ chơi, trẻ dùng câu đơn khá rõ ràng.</t>
  </si>
  <si>
    <t xml:space="preserve">Luyện ở mức “dùng câu đơn khá rõ ràng” thông qua: Khích lệ nói tiếng một, câu ngắn; làm mẫu câu ngắn; bày tỏ ý muốn khi chơi.</t>
  </si>
  <si>
    <t xml:space="preserve">Mốc cuối 33–36 tháng (theo QĐ 388) — trẻ sử dụng được câu đơn với các từ ngữ quen thuộc để diễn đạt ý muốn của bản thân một cách ổn định, chủ động.</t>
  </si>
  <si>
    <t xml:space="preserve">Luyện ở mức “sử dụng được câu đơn với các từ ngữ quen thuộc để diễn đạt ý muốn của bản thân” thông qua: Khích lệ nói tiếng một, câu ngắn; làm mẫu câu ngắn; bày tỏ ý muốn khi chơi.</t>
  </si>
  <si>
    <t xml:space="preserve">Trong sinh hoạt/giờ chơi, trẻ chỉ tay vào đồ vật mới (chưa hỏi).</t>
  </si>
  <si>
    <t xml:space="preserve">Luyện ở mức “chỉ tay vào đồ vật mới (chưa hỏi)” thông qua: Tạo tình huống để trẻ chỉ, hỏi 'gì đây'; khám phá đồ vật; xem tranh và hỏi.</t>
  </si>
  <si>
    <t xml:space="preserve">Trẻ chậm / cần hỗ trợ: lùi về mốc liền trước, tăng làm mẫu – cầm tay – lặp lại; khích lệ trẻ mạnh dạn hỏi; đáp ứng và gọi đúng tên cho trẻ.</t>
  </si>
  <si>
    <t xml:space="preserve">Trong sinh hoạt/giờ chơi, trẻ chỉ + phát tiếng 'gì đây' theo cô.</t>
  </si>
  <si>
    <t xml:space="preserve">Luyện ở mức “chỉ + phát tiếng 'gì đây' theo cô” thông qua: Tạo tình huống để trẻ chỉ, hỏi 'gì đây'; khám phá đồ vật; xem tranh và hỏi.</t>
  </si>
  <si>
    <t xml:space="preserve">Trong sinh hoạt/giờ chơi, trẻ hỏi 'gì đây' khi tò mò (đầu phát cảm ngôn ngữ).</t>
  </si>
  <si>
    <t xml:space="preserve">Luyện ở mức “hỏi 'gì đây' khi tò mò (đầu phát cảm ngôn ngữ)” thông qua: Tạo tình huống để trẻ chỉ, hỏi 'gì đây'; khám phá đồ vật; xem tranh và hỏi.</t>
  </si>
  <si>
    <t xml:space="preserve">Trong sinh hoạt/giờ chơi, trẻ đặt câu hỏi đơn giản (cái gì, ở đâu) ngắn.</t>
  </si>
  <si>
    <t xml:space="preserve">Luyện ở mức “đặt câu hỏi đơn giản (cái gì, ở đâu) ngắn” thông qua: Tạo tình huống để trẻ chỉ, hỏi 'gì đây'; khám phá đồ vật; xem tranh và hỏi.</t>
  </si>
  <si>
    <t xml:space="preserve">Trong sinh hoạt/giờ chơi, trẻ đặt câu hỏi đơn giản về đồ vật, con vật.</t>
  </si>
  <si>
    <t xml:space="preserve">Luyện ở mức “đặt câu hỏi đơn giản về đồ vật, con vật” thông qua: Tạo tình huống để trẻ chỉ, hỏi 'gì đây'; khám phá đồ vật; xem tranh và hỏi.</t>
  </si>
  <si>
    <t xml:space="preserve">Trong sinh hoạt/giờ chơi, trẻ hỏi nhiều câu hỏi đơn giản hơn.</t>
  </si>
  <si>
    <t xml:space="preserve">Luyện ở mức “hỏi nhiều câu hỏi đơn giản hơn” thông qua: Tạo tình huống để trẻ chỉ, hỏi 'gì đây'; khám phá đồ vật; xem tranh và hỏi.</t>
  </si>
  <si>
    <t xml:space="preserve">Trong sinh hoạt/giờ chơi, trẻ đặt câu hỏi đơn giản khá rõ ràng.</t>
  </si>
  <si>
    <t xml:space="preserve">Luyện ở mức “đặt câu hỏi đơn giản khá rõ ràng” thông qua: Tạo tình huống để trẻ chỉ, hỏi 'gì đây'; khám phá đồ vật; xem tranh và hỏi.</t>
  </si>
  <si>
    <t xml:space="preserve">Mốc cuối 33–36 tháng (theo QĐ 388) — trẻ đặt được câu hỏi đơn giản một cách ổn định, chủ động.</t>
  </si>
  <si>
    <t xml:space="preserve">Luyện ở mức “đặt được câu hỏi đơn giản” thông qua: Tạo tình huống để trẻ chỉ, hỏi 'gì đây'; khám phá đồ vật; xem tranh và hỏi.</t>
  </si>
  <si>
    <t xml:space="preserve">Trong sinh hoạt/giờ chơi, trẻ kết hợp tiếng với ánh mắt, nét mặt.</t>
  </si>
  <si>
    <t xml:space="preserve">Luyện ở mức “kết hợp tiếng với ánh mắt, nét mặt” thông qua: Nhận biết cảm xúc; trẻ kết hợp tiếng, chỉ tay, nét mặt; chơi đóng vai.</t>
  </si>
  <si>
    <t xml:space="preserve">Trẻ chậm / cần hỗ trợ: lùi về mốc liền trước, tăng làm mẫu – cầm tay – lặp lại; cô làm mẫu biểu lộ; khích lệ trẻ diễn đạt bằng tiếng kèm cử chỉ.</t>
  </si>
  <si>
    <t xml:space="preserve">Trong sinh hoạt/giờ chơi, trẻ kết hợp bập bẹ với chỉ tay biểu đạt.</t>
  </si>
  <si>
    <t xml:space="preserve">Luyện ở mức “kết hợp bập bẹ với chỉ tay biểu đạt” thông qua: Nhận biết cảm xúc; trẻ kết hợp tiếng, chỉ tay, nét mặt; chơi đóng vai.</t>
  </si>
  <si>
    <t xml:space="preserve">Trong sinh hoạt/giờ chơi, trẻ kết hợp tiếng + cử chỉ + nét mặt rõ hơn.</t>
  </si>
  <si>
    <t xml:space="preserve">Luyện ở mức “kết hợp tiếng + cử chỉ + nét mặt rõ hơn” thông qua: Nhận biết cảm xúc; trẻ kết hợp tiếng, chỉ tay, nét mặt; chơi đóng vai.</t>
  </si>
  <si>
    <t xml:space="preserve">Trong sinh hoạt/giờ chơi, trẻ dùng lời + điệu bộ thể hiện ý, cảm xúc.</t>
  </si>
  <si>
    <t xml:space="preserve">Luyện ở mức “dùng lời + điệu bộ thể hiện ý, cảm xúc” thông qua: Nhận biết cảm xúc; trẻ kết hợp tiếng, chỉ tay, nét mặt; chơi đóng vai.</t>
  </si>
  <si>
    <t xml:space="preserve">Trong sinh hoạt/giờ chơi, trẻ kết hợp lời nói với cử chỉ, điệu bộ.</t>
  </si>
  <si>
    <t xml:space="preserve">Luyện ở mức “kết hợp lời nói với cử chỉ, điệu bộ” thông qua: Nhận biết cảm xúc; trẻ kết hợp tiếng, chỉ tay, nét mặt; chơi đóng vai.</t>
  </si>
  <si>
    <t xml:space="preserve">Trong sinh hoạt/giờ chơi, trẻ dùng lời + điệu bộ diễn đạt phong phú hơn.</t>
  </si>
  <si>
    <t xml:space="preserve">Luyện ở mức “dùng lời + điệu bộ diễn đạt phong phú hơn” thông qua: Nhận biết cảm xúc; trẻ kết hợp tiếng, chỉ tay, nét mặt; chơi đóng vai.</t>
  </si>
  <si>
    <t xml:space="preserve">Trong sinh hoạt/giờ chơi, trẻ kết hợp lời nói với cử chỉ khá tự nhiên.</t>
  </si>
  <si>
    <t xml:space="preserve">Luyện ở mức “kết hợp lời nói với cử chỉ khá tự nhiên” thông qua: Nhận biết cảm xúc; trẻ kết hợp tiếng, chỉ tay, nét mặt; chơi đóng vai.</t>
  </si>
  <si>
    <t xml:space="preserve">Mốc cuối 33–36 tháng (theo QĐ 388) — trẻ kết hợp lời nói với cử chỉ, điệu bộ, ánh mắt để thể hiện ý kiến hoặc cảm xúc một cách ổn định, chủ động.</t>
  </si>
  <si>
    <t xml:space="preserve">Luyện ở mức “kết hợp lời nói với cử chỉ, điệu bộ, ánh mắt để thể hiện ý kiến hoặc cảm xúc” thông qua: Nhận biết cảm xúc; trẻ kết hợp tiếng, chỉ tay, nét mặt; chơi đóng vai.</t>
  </si>
  <si>
    <t xml:space="preserve">Luyện ở mức “bắt chước vẫy tay chào theo cô” thông qua: Thực hành chào, 'ạ', tạm biệt khi đón–trả; đóng vai chào hỏi; nêu gương bé lễ phép.</t>
  </si>
  <si>
    <t xml:space="preserve">Trẻ chậm / cần hỗ trợ: lùi về mốc liền trước, tăng làm mẫu – cầm tay – lặp lại; cô và người lớn làm gương; phối hợp phụ huynh rèn lời lễ phép.</t>
  </si>
  <si>
    <t xml:space="preserve">Trong sinh hoạt/giờ chơi, trẻ bắt chước 'ạ', tạm biệt theo cô.</t>
  </si>
  <si>
    <t xml:space="preserve">Luyện ở mức “bắt chước 'ạ', tạm biệt theo cô” thông qua: Thực hành chào, 'ạ', tạm biệt khi đón–trả; đóng vai chào hỏi; nêu gương bé lễ phép.</t>
  </si>
  <si>
    <t xml:space="preserve">Trong sinh hoạt/giờ chơi, trẻ nói 'ạ', chào, tạm biệt trong tình huống quen.</t>
  </si>
  <si>
    <t xml:space="preserve">Luyện ở mức “nói 'ạ', chào, tạm biệt trong tình huống quen” thông qua: Thực hành chào, 'ạ', tạm biệt khi đón–trả; đóng vai chào hỏi; nêu gương bé lễ phép.</t>
  </si>
  <si>
    <t xml:space="preserve">Trong sinh hoạt/giờ chơi, trẻ dùng từ chào, tạm biệt với nhắc.</t>
  </si>
  <si>
    <t xml:space="preserve">Luyện ở mức “dùng từ chào, tạm biệt với nhắc” thông qua: Thực hành chào, 'ạ', tạm biệt khi đón–trả; đóng vai chào hỏi; nêu gương bé lễ phép.</t>
  </si>
  <si>
    <t xml:space="preserve">Trong sinh hoạt/giờ chơi, trẻ dùng từ lễ phép (chào, cảm ơn, tạm biệt).</t>
  </si>
  <si>
    <t xml:space="preserve">Luyện ở mức “dùng từ lễ phép (chào, cảm ơn, tạm biệt)” thông qua: Thực hành chào, 'ạ', tạm biệt khi đón–trả; đóng vai chào hỏi; nêu gương bé lễ phép.</t>
  </si>
  <si>
    <t xml:space="preserve">Trong sinh hoạt/giờ chơi, trẻ dùng từ lễ phép chủ động hơn.</t>
  </si>
  <si>
    <t xml:space="preserve">Luyện ở mức “dùng từ lễ phép chủ động hơn” thông qua: Thực hành chào, 'ạ', tạm biệt khi đón–trả; đóng vai chào hỏi; nêu gương bé lễ phép.</t>
  </si>
  <si>
    <t xml:space="preserve">Trong sinh hoạt/giờ chơi, trẻ dùng từ lễ phép khá phù hợp tình huống.</t>
  </si>
  <si>
    <t xml:space="preserve">Luyện ở mức “dùng từ lễ phép khá phù hợp tình huống” thông qua: Thực hành chào, 'ạ', tạm biệt khi đón–trả; đóng vai chào hỏi; nêu gương bé lễ phép.</t>
  </si>
  <si>
    <t xml:space="preserve">Mốc cuối 33–36 tháng (theo QĐ 388) — trẻ sử dụng được các từ chỉ sự lễ phép đơn giản như chào, cảm ơn, xin lỗi, tạm biệt phù hợp với tình huống giao tiếp và văn hoá một cách ổn định, chủ động.</t>
  </si>
  <si>
    <t xml:space="preserve">Luyện ở mức “sử dụng được các từ chỉ sự lễ phép đơn giản như chào, cảm ơn, xin lỗi, tạm biệt phù hợp với tình huống giao tiếp và văn hoá” thông qua: Thực hành chào, 'ạ', tạm biệt khi đón–trả; đóng vai chào hỏi; nêu gương bé lễ phép.</t>
  </si>
  <si>
    <t xml:space="preserve">Trong sinh hoạt/giờ chơi, trẻ chỉ vào tranh quen thuộc khi cô kể.</t>
  </si>
  <si>
    <t xml:space="preserve">Luyện ở mức “chỉ vào tranh quen thuộc khi cô kể” thông qua: Xem tranh truyện; cô kể, trẻ chỉ, mô phỏng nhân vật; chơi rối tay.</t>
  </si>
  <si>
    <t xml:space="preserve">Trẻ chậm / cần hỗ trợ: lùi về mốc liền trước, tăng làm mẫu – cầm tay – lặp lại; dùng tranh khổ lớn; chấp nhận trẻ diễn đạt bằng tiếng, cử chỉ.</t>
  </si>
  <si>
    <t xml:space="preserve">Trong sinh hoạt/giờ chơi, trẻ phát tiếng mô phỏng nhân vật khi cô kể.</t>
  </si>
  <si>
    <t xml:space="preserve">Luyện ở mức “phát tiếng mô phỏng nhân vật khi cô kể” thông qua: Xem tranh truyện; cô kể, trẻ chỉ, mô phỏng nhân vật; chơi rối tay.</t>
  </si>
  <si>
    <t xml:space="preserve">Trong sinh hoạt/giờ chơi, trẻ chỉ + mô phỏng cử chỉ nhân vật quen thuộc.</t>
  </si>
  <si>
    <t xml:space="preserve">Luyện ở mức “chỉ + mô phỏng cử chỉ nhân vật quen thuộc” thông qua: Xem tranh truyện; cô kể, trẻ chỉ, mô phỏng nhân vật; chơi rối tay.</t>
  </si>
  <si>
    <t xml:space="preserve">Trong sinh hoạt/giờ chơi, trẻ mô phỏng vài hành động nhân vật theo cách của trẻ.</t>
  </si>
  <si>
    <t xml:space="preserve">Luyện ở mức “mô phỏng vài hành động nhân vật theo cách của trẻ” thông qua: Xem tranh truyện; cô kể, trẻ chỉ, mô phỏng nhân vật; chơi rối tay.</t>
  </si>
  <si>
    <t xml:space="preserve">Trong sinh hoạt/giờ chơi, trẻ diễn đạt (theo cách của trẻ) hành động nhân vật.</t>
  </si>
  <si>
    <t xml:space="preserve">Luyện ở mức “diễn đạt (theo cách của trẻ) hành động nhân vật” thông qua: Xem tranh truyện; cô kể, trẻ chỉ, mô phỏng nhân vật; chơi rối tay.</t>
  </si>
  <si>
    <t xml:space="preserve">Trong sinh hoạt/giờ chơi, trẻ kể lại (đơn giản) hành động nhân vật theo cách của trẻ.</t>
  </si>
  <si>
    <t xml:space="preserve">Luyện ở mức “kể lại (đơn giản) hành động nhân vật theo cách của trẻ” thông qua: Xem tranh truyện; cô kể, trẻ chỉ, mô phỏng nhân vật; chơi rối tay.</t>
  </si>
  <si>
    <t xml:space="preserve">Trong sinh hoạt/giờ chơi, trẻ diễn đạt hành động nhân vật rõ hơn.</t>
  </si>
  <si>
    <t xml:space="preserve">Luyện ở mức “diễn đạt hành động nhân vật rõ hơn” thông qua: Xem tranh truyện; cô kể, trẻ chỉ, mô phỏng nhân vật; chơi rối tay.</t>
  </si>
  <si>
    <t xml:space="preserve">Mốc cuối 33–36 tháng (theo QĐ 388) — trẻ diễn đạt được bằng lời nói các hành động của nhân vật trong tranh truyện theo cách của trẻ một cách ổn định, chủ động.</t>
  </si>
  <si>
    <t xml:space="preserve">Luyện ở mức “diễn đạt được bằng lời nói các hành động của nhân vật trong tranh truyện theo cách của trẻ” thông qua: Xem tranh truyện; cô kể, trẻ chỉ, mô phỏng nhân vật; chơi rối tay.</t>
  </si>
  <si>
    <t xml:space="preserve">Trong sinh hoạt/giờ chơi, trẻ hóng nghe thơ/bài hát ngắn cô đọc.</t>
  </si>
  <si>
    <t xml:space="preserve">Luyện ở mức “hóng nghe thơ/bài hát ngắn cô đọc” thông qua: Đọc thơ, hát bài ngắn; trẻ hóng nghe, bập bẹ, nhún theo; góc âm nhạc.</t>
  </si>
  <si>
    <t xml:space="preserve">Trẻ chậm / cần hỗ trợ: lùi về mốc liền trước, tăng làm mẫu – cầm tay – lặp lại; cho trẻ tiếp xúc thường xuyên thơ, bài hát; chú trọng hứng thú.</t>
  </si>
  <si>
    <t xml:space="preserve">Trong sinh hoạt/giờ chơi, trẻ nhún nhảy, bập bẹ theo nhịp.</t>
  </si>
  <si>
    <t xml:space="preserve">Luyện ở mức “nhún nhảy, bập bẹ theo nhịp” thông qua: Đọc thơ, hát bài ngắn; trẻ hóng nghe, bập bẹ, nhún theo; góc âm nhạc.</t>
  </si>
  <si>
    <t xml:space="preserve">Trong sinh hoạt/giờ chơi, trẻ đọc/hát theo vài tiếng cuối câu.</t>
  </si>
  <si>
    <t xml:space="preserve">Luyện ở mức “đọc/hát theo vài tiếng cuối câu” thông qua: Đọc thơ, hát bài ngắn; trẻ hóng nghe, bập bẹ, nhún theo; góc âm nhạc.</t>
  </si>
  <si>
    <t xml:space="preserve">Trong sinh hoạt/giờ chơi, trẻ đọc thơ, hát theo cô vài câu ngắn.</t>
  </si>
  <si>
    <t xml:space="preserve">Luyện ở mức “đọc thơ, hát theo cô vài câu ngắn” thông qua: Đọc thơ, hát bài ngắn; trẻ hóng nghe, bập bẹ, nhún theo; góc âm nhạc.</t>
  </si>
  <si>
    <t xml:space="preserve">Trong sinh hoạt/giờ chơi, trẻ đọc thơ, hát theo bài ngắn (theo cách của trẻ).</t>
  </si>
  <si>
    <t xml:space="preserve">Luyện ở mức “đọc thơ, hát theo bài ngắn (theo cách của trẻ)” thông qua: Đọc thơ, hát bài ngắn; trẻ hóng nghe, bập bẹ, nhún theo; góc âm nhạc.</t>
  </si>
  <si>
    <t xml:space="preserve">Trong sinh hoạt/giờ chơi, trẻ đọc thơ, hát có nhịp điệu hơn.</t>
  </si>
  <si>
    <t xml:space="preserve">Luyện ở mức “đọc thơ, hát có nhịp điệu hơn” thông qua: Đọc thơ, hát bài ngắn; trẻ hóng nghe, bập bẹ, nhún theo; góc âm nhạc.</t>
  </si>
  <si>
    <t xml:space="preserve">Trong sinh hoạt/giờ chơi, trẻ đọc thơ, hát, kể có nhịp điệu khá rõ.</t>
  </si>
  <si>
    <t xml:space="preserve">Luyện ở mức “đọc thơ, hát, kể có nhịp điệu khá rõ” thông qua: Đọc thơ, hát bài ngắn; trẻ hóng nghe, bập bẹ, nhún theo; góc âm nhạc.</t>
  </si>
  <si>
    <t xml:space="preserve">Mốc cuối 33–36 tháng (theo QĐ 388) — trẻ kể chuyện, đọc thơ, hát… có nhịp điệu, diễn cảm theo cách của trẻ một cách ổn định, chủ động.</t>
  </si>
  <si>
    <t xml:space="preserve">Luyện ở mức “kể chuyện, đọc thơ, hát… có nhịp điệu, diễn cảm theo cách của trẻ” thông qua: Đọc thơ, hát bài ngắn; trẻ hóng nghe, bập bẹ, nhún theo; góc âm nhạc.</t>
  </si>
  <si>
    <t xml:space="preserve">Trong sinh hoạt/giờ chơi, trẻ cầm, vỗ sách vải/sách dày.</t>
  </si>
  <si>
    <t xml:space="preserve">Luyện ở mức “cầm, vỗ sách vải/sách dày” thông qua: Góc sách: cầm, lật sách vải/sách dày; xem tranh cùng cô; mang sách ra sân.</t>
  </si>
  <si>
    <t xml:space="preserve">Trẻ chậm / cần hỗ trợ: lùi về mốc liền trước, tăng làm mẫu – cầm tay – lặp lại; bố trí góc sách vừa tầm; dùng sách vải/sách dày bền cho trẻ.</t>
  </si>
  <si>
    <t xml:space="preserve">Trong sinh hoạt/giờ chơi, trẻ lật (chưa đúng chiều) sách dày.</t>
  </si>
  <si>
    <t xml:space="preserve">Luyện ở mức “lật (chưa đúng chiều) sách dày” thông qua: Góc sách: cầm, lật sách vải/sách dày; xem tranh cùng cô; mang sách ra sân.</t>
  </si>
  <si>
    <t xml:space="preserve">Trong sinh hoạt/giờ chơi, trẻ lật trang sách; nhìn tranh cùng cô.</t>
  </si>
  <si>
    <t xml:space="preserve">Luyện ở mức “lật trang sách; nhìn tranh cùng cô” thông qua: Góc sách: cầm, lật sách vải/sách dày; xem tranh cùng cô; mang sách ra sân.</t>
  </si>
  <si>
    <t xml:space="preserve">Trong sinh hoạt/giờ chơi, trẻ lật đúng chiều hơn; chỉ tranh.</t>
  </si>
  <si>
    <t xml:space="preserve">Luyện ở mức “lật đúng chiều hơn; chỉ tranh” thông qua: Góc sách: cầm, lật sách vải/sách dày; xem tranh cùng cô; mang sách ra sân.</t>
  </si>
  <si>
    <t xml:space="preserve">Trong sinh hoạt/giờ chơi, trẻ chủ động cầm, mở, lật sách.</t>
  </si>
  <si>
    <t xml:space="preserve">Luyện ở mức “chủ động cầm, mở, lật sách” thông qua: Góc sách: cầm, lật sách vải/sách dày; xem tranh cùng cô; mang sách ra sân.</t>
  </si>
  <si>
    <t xml:space="preserve">Trong sinh hoạt/giờ chơi, trẻ lật sách đúng chiều; chọn sách thích.</t>
  </si>
  <si>
    <t xml:space="preserve">Luyện ở mức “lật sách đúng chiều; chọn sách thích” thông qua: Góc sách: cầm, lật sách vải/sách dày; xem tranh cùng cô; mang sách ra sân.</t>
  </si>
  <si>
    <t xml:space="preserve">Trong sinh hoạt/giờ chơi, trẻ cầm, mở, lật sách khá thành thạo.</t>
  </si>
  <si>
    <t xml:space="preserve">Luyện ở mức “cầm, mở, lật sách khá thành thạo” thông qua: Góc sách: cầm, lật sách vải/sách dày; xem tranh cùng cô; mang sách ra sân.</t>
  </si>
  <si>
    <t xml:space="preserve">Mốc cuối 33–36 tháng (theo QĐ 388) — trẻ chủ động cầm, mở, lật sách, ấn phẩm trong môi trường chơi – học một cách ổn định, chủ động.</t>
  </si>
  <si>
    <t xml:space="preserve">Luyện ở mức “chủ động cầm, mở, lật sách, ấn phẩm trong môi trường chơi – học” thông qua: Góc sách: cầm, lật sách vải/sách dày; xem tranh cùng cô; mang sách ra sân.</t>
  </si>
  <si>
    <t xml:space="preserve">Trong sinh hoạt/giờ chơi, trẻ hóng, cười khi cô đọc/kể.</t>
  </si>
  <si>
    <t xml:space="preserve">Luyện ở mức “hóng, cười khi cô đọc/kể” thông qua: Cô đọc truyện tranh; trẻ hóng nghe, cười, chỉ tranh; ngồi vào lòng cô xem sách.</t>
  </si>
  <si>
    <t xml:space="preserve">Trẻ chậm / cần hỗ trợ: lùi về mốc liền trước, tăng làm mẫu – cầm tay – lặp lại; xây thói quen đọc sách hằng ngày; đọc diễn cảm kèm cử chỉ.</t>
  </si>
  <si>
    <t xml:space="preserve">Trong sinh hoạt/giờ chơi, trẻ chỉ tranh khi cô đọc.</t>
  </si>
  <si>
    <t xml:space="preserve">Luyện ở mức “chỉ tranh khi cô đọc” thông qua: Cô đọc truyện tranh; trẻ hóng nghe, cười, chỉ tranh; ngồi vào lòng cô xem sách.</t>
  </si>
  <si>
    <t xml:space="preserve">Trong sinh hoạt/giờ chơi, trẻ thích ngồi vào lòng cô xem sách.</t>
  </si>
  <si>
    <t xml:space="preserve">Luyện ở mức “thích ngồi vào lòng cô xem sách” thông qua: Cô đọc truyện tranh; trẻ hóng nghe, cười, chỉ tranh; ngồi vào lòng cô xem sách.</t>
  </si>
  <si>
    <t xml:space="preserve">Trong sinh hoạt/giờ chơi, trẻ hào hứng khi được nghe đọc sách.</t>
  </si>
  <si>
    <t xml:space="preserve">Luyện ở mức “hào hứng khi được nghe đọc sách” thông qua: Cô đọc truyện tranh; trẻ hóng nghe, cười, chỉ tranh; ngồi vào lòng cô xem sách.</t>
  </si>
  <si>
    <t xml:space="preserve">Trong sinh hoạt/giờ chơi, trẻ vui thích khi được nghe đọc sách.</t>
  </si>
  <si>
    <t xml:space="preserve">Luyện ở mức “vui thích khi được nghe đọc sách” thông qua: Cô đọc truyện tranh; trẻ hóng nghe, cười, chỉ tranh; ngồi vào lòng cô xem sách.</t>
  </si>
  <si>
    <t xml:space="preserve">Trong sinh hoạt/giờ chơi, trẻ chủ động đề nghị cô đọc sách (ra hiệu).</t>
  </si>
  <si>
    <t xml:space="preserve">Luyện ở mức “chủ động đề nghị cô đọc sách (ra hiệu)” thông qua: Cô đọc truyện tranh; trẻ hóng nghe, cười, chỉ tranh; ngồi vào lòng cô xem sách.</t>
  </si>
  <si>
    <t xml:space="preserve">Trong sinh hoạt/giờ chơi, trẻ tập trung nghe đọc sách lâu hơn.</t>
  </si>
  <si>
    <t xml:space="preserve">Luyện ở mức “tập trung nghe đọc sách lâu hơn” thông qua: Cô đọc truyện tranh; trẻ hóng nghe, cười, chỉ tranh; ngồi vào lòng cô xem sách.</t>
  </si>
  <si>
    <t xml:space="preserve">Mốc cuối 33–36 tháng (theo QĐ 388) — trẻ vui thích khi được nghe đọc sách một cách ổn định, chủ động.</t>
  </si>
  <si>
    <t xml:space="preserve">Trong sinh hoạt/giờ chơi, trẻ nhìn vào hình ảnh trong sách.</t>
  </si>
  <si>
    <t xml:space="preserve">Luyện ở mức “nhìn vào hình ảnh trong sách” thông qua: Góc sách: chỉ hình ảnh theo yêu cầu; tìm hình quen thuộc; so sánh hình với vật thật.</t>
  </si>
  <si>
    <t xml:space="preserve">Trẻ chậm / cần hỗ trợ: lùi về mốc liền trước, tăng làm mẫu – cầm tay – lặp lại; dùng sách hình rõ nét, ít chữ; khích lệ trẻ chỉ hình khi xem.</t>
  </si>
  <si>
    <t xml:space="preserve">Trong sinh hoạt/giờ chơi, trẻ chỉ hình ảnh quen thuộc khi cô hỏi.</t>
  </si>
  <si>
    <t xml:space="preserve">Luyện ở mức “chỉ hình ảnh quen thuộc khi cô hỏi” thông qua: Góc sách: chỉ hình ảnh theo yêu cầu; tìm hình quen thuộc; so sánh hình với vật thật.</t>
  </si>
  <si>
    <t xml:space="preserve">Trong sinh hoạt/giờ chơi, trẻ chỉ đúng vài hình ảnh theo yêu cầu.</t>
  </si>
  <si>
    <t xml:space="preserve">Luyện ở mức “chỉ đúng vài hình ảnh theo yêu cầu” thông qua: Góc sách: chỉ hình ảnh theo yêu cầu; tìm hình quen thuộc; so sánh hình với vật thật.</t>
  </si>
  <si>
    <t xml:space="preserve">Trong sinh hoạt/giờ chơi, trẻ chỉ hình ảnh quen thuộc khá đúng.</t>
  </si>
  <si>
    <t xml:space="preserve">Luyện ở mức “chỉ hình ảnh quen thuộc khá đúng” thông qua: Góc sách: chỉ hình ảnh theo yêu cầu; tìm hình quen thuộc; so sánh hình với vật thật.</t>
  </si>
  <si>
    <t xml:space="preserve">Trong sinh hoạt/giờ chơi, trẻ chỉ phần hình ảnh trong sách tranh.</t>
  </si>
  <si>
    <t xml:space="preserve">Luyện ở mức “chỉ phần hình ảnh trong sách tranh” thông qua: Góc sách: chỉ hình ảnh theo yêu cầu; tìm hình quen thuộc; so sánh hình với vật thật.</t>
  </si>
  <si>
    <t xml:space="preserve">Trong sinh hoạt/giờ chơi, trẻ chỉ hình ảnh, tìm hình giống.</t>
  </si>
  <si>
    <t xml:space="preserve">Luyện ở mức “chỉ hình ảnh, tìm hình giống” thông qua: Góc sách: chỉ hình ảnh theo yêu cầu; tìm hình quen thuộc; so sánh hình với vật thật.</t>
  </si>
  <si>
    <t xml:space="preserve">Trong sinh hoạt/giờ chơi, trẻ chỉ hình ảnh và bước đầu chú ý chữ.</t>
  </si>
  <si>
    <t xml:space="preserve">Luyện ở mức “chỉ hình ảnh và bước đầu chú ý chữ” thông qua: Góc sách: chỉ hình ảnh theo yêu cầu; tìm hình quen thuộc; so sánh hình với vật thật.</t>
  </si>
  <si>
    <t xml:space="preserve">Mốc cuối 33–36 tháng (theo QĐ 388) — trẻ chỉ được phần hình ảnh và chữ viết trong sách tranh một cách ổn định, chủ động.</t>
  </si>
  <si>
    <t xml:space="preserve">Luyện ở mức “chỉ được phần hình ảnh và chữ viết trong sách tranh” thông qua: Góc sách: chỉ hình ảnh theo yêu cầu; tìm hình quen thuộc; so sánh hình với vật thật.</t>
  </si>
  <si>
    <t xml:space="preserve">Trong sinh hoạt/giờ chơi, trẻ cầm sáp to cả bàn tay.</t>
  </si>
  <si>
    <t xml:space="preserve">Luyện ở mức “cầm sáp to cả bàn tay” thông qua: Cho trẻ làm quen sáp to; di màu, chấm màu trên giấy khổ lớn; vẽ phấn trên sân.</t>
  </si>
  <si>
    <t xml:space="preserve">Trẻ chậm / cần hỗ trợ: lùi về mốc liền trước, tăng làm mẫu – cầm tay – lặp lại; chuẩn bị sáp to, giấy khổ lớn; không yêu cầu giống mẫu.</t>
  </si>
  <si>
    <t xml:space="preserve">Trong sinh hoạt/giờ chơi, trẻ chấm, di màu tạo vết tự do.</t>
  </si>
  <si>
    <t xml:space="preserve">Luyện ở mức “chấm, di màu tạo vết tự do” thông qua: Cho trẻ làm quen sáp to; di màu, chấm màu trên giấy khổ lớn; vẽ phấn trên sân.</t>
  </si>
  <si>
    <t xml:space="preserve">Trong sinh hoạt/giờ chơi, trẻ di màu cả bàn tay khi cô làm mẫu.</t>
  </si>
  <si>
    <t xml:space="preserve">Luyện ở mức “di màu cả bàn tay khi cô làm mẫu” thông qua: Cho trẻ làm quen sáp to; di màu, chấm màu trên giấy khổ lớn; vẽ phấn trên sân.</t>
  </si>
  <si>
    <t xml:space="preserve">Trong sinh hoạt/giờ chơi, trẻ tạo nét vẽ tự do trên giấy/bảng.</t>
  </si>
  <si>
    <t xml:space="preserve">Luyện ở mức “tạo nét vẽ tự do trên giấy/bảng” thông qua: Cho trẻ làm quen sáp to; di màu, chấm màu trên giấy khổ lớn; vẽ phấn trên sân.</t>
  </si>
  <si>
    <t xml:space="preserve">Trong sinh hoạt/giờ chơi, trẻ chủ động cầm sáp tạo nét vẽ.</t>
  </si>
  <si>
    <t xml:space="preserve">Luyện ở mức “chủ động cầm sáp tạo nét vẽ” thông qua: Cho trẻ làm quen sáp to; di màu, chấm màu trên giấy khổ lớn; vẽ phấn trên sân.</t>
  </si>
  <si>
    <t xml:space="preserve">Trong sinh hoạt/giờ chơi, trẻ tạo nét vẽ có chủ đích hơn.</t>
  </si>
  <si>
    <t xml:space="preserve">Luyện ở mức “tạo nét vẽ có chủ đích hơn” thông qua: Cho trẻ làm quen sáp to; di màu, chấm màu trên giấy khổ lớn; vẽ phấn trên sân.</t>
  </si>
  <si>
    <t xml:space="preserve">Trong sinh hoạt/giờ chơi, trẻ dùng bút/sáp tạo nét khá tự nhiên; chỉ hình trong sách.</t>
  </si>
  <si>
    <t xml:space="preserve">Luyện ở mức “dùng bút/sáp tạo nét khá tự nhiên; chỉ hình trong sách” thông qua: Cho trẻ làm quen sáp to; di màu, chấm màu trên giấy khổ lớn; vẽ phấn trên sân.</t>
  </si>
  <si>
    <t xml:space="preserve">Mốc cuối 33–36 tháng (theo QĐ 388) — trẻ chủ động cầm và sử dụng bút hoặc sáp màu để tạo nét vẽ trên giấy hoặc bảng. Chỉ vào hình ảnh trong sách khi được hỏi một cách ổn định, chủ động.</t>
  </si>
  <si>
    <t xml:space="preserve">Luyện ở mức “chủ động cầm và sử dụng bút hoặc sáp màu để tạo nét vẽ trên giấy hoặc bảng. Chỉ vào hình ảnh trong sách khi được hỏi” thông qua: Cho trẻ làm quen sáp to; di màu, chấm màu trên giấy khổ lớn; vẽ phấn trên sân.</t>
  </si>
  <si>
    <t xml:space="preserve">Trong sinh hoạt/giờ chơi, trẻ di tay tạo vết trên giấy.</t>
  </si>
  <si>
    <t xml:space="preserve">Luyện ở mức “di tay tạo vết trên giấy” thông qua: Di, chấm, gạch tạo vệt; in dấu tay; vẽ phấn trên sân; chơi đất nặn tạo vệt.</t>
  </si>
  <si>
    <t xml:space="preserve">Trẻ chậm / cần hỗ trợ: lùi về mốc liền trước, tăng làm mẫu – cầm tay – lặp lại; chuẩn bị vật liệu đa dạng, to; quan sát phối hợp tay–mắt.</t>
  </si>
  <si>
    <t xml:space="preserve">Trong sinh hoạt/giờ chơi, trẻ chấm, gạch tạo vệt màu.</t>
  </si>
  <si>
    <t xml:space="preserve">Luyện ở mức “chấm, gạch tạo vệt màu” thông qua: Di, chấm, gạch tạo vệt; in dấu tay; vẽ phấn trên sân; chơi đất nặn tạo vệt.</t>
  </si>
  <si>
    <t xml:space="preserve">Trong sinh hoạt/giờ chơi, trẻ tạo vệt nguệch ngoạc tự do.</t>
  </si>
  <si>
    <t xml:space="preserve">Luyện ở mức “tạo vệt nguệch ngoạc tự do” thông qua: Di, chấm, gạch tạo vệt; in dấu tay; vẽ phấn trên sân; chơi đất nặn tạo vệt.</t>
  </si>
  <si>
    <t xml:space="preserve">Trong sinh hoạt/giờ chơi, trẻ tạo nhiều vệt nguệch ngoạc hơn.</t>
  </si>
  <si>
    <t xml:space="preserve">Luyện ở mức “tạo nhiều vệt nguệch ngoạc hơn” thông qua: Di, chấm, gạch tạo vệt; in dấu tay; vẽ phấn trên sân; chơi đất nặn tạo vệt.</t>
  </si>
  <si>
    <t xml:space="preserve">Trong sinh hoạt/giờ chơi, trẻ tạo được nét vẽ nguệch ngoạc.</t>
  </si>
  <si>
    <t xml:space="preserve">Luyện ở mức “tạo được nét vẽ nguệch ngoạc” thông qua: Di, chấm, gạch tạo vệt; in dấu tay; vẽ phấn trên sân; chơi đất nặn tạo vệt.</t>
  </si>
  <si>
    <t xml:space="preserve">Trong sinh hoạt/giờ chơi, trẻ tạo vệt nguệch ngoạc có hướng hơn.</t>
  </si>
  <si>
    <t xml:space="preserve">Luyện ở mức “tạo vệt nguệch ngoạc có hướng hơn” thông qua: Di, chấm, gạch tạo vệt; in dấu tay; vẽ phấn trên sân; chơi đất nặn tạo vệt.</t>
  </si>
  <si>
    <t xml:space="preserve">Trong sinh hoạt/giờ chơi, trẻ tạo nét nguệch ngoạc khá phong phú.</t>
  </si>
  <si>
    <t xml:space="preserve">Luyện ở mức “tạo nét nguệch ngoạc khá phong phú” thông qua: Di, chấm, gạch tạo vệt; in dấu tay; vẽ phấn trên sân; chơi đất nặn tạo vệt.</t>
  </si>
  <si>
    <t xml:space="preserve">Mốc cuối 33–36 tháng (theo QĐ 388) — trẻ tạo được nét vẽ nguệch ngoạc một cách ổn định, chủ động.</t>
  </si>
  <si>
    <t xml:space="preserve">Nhận thức</t>
  </si>
  <si>
    <t xml:space="preserve">Trong sinh hoạt/giờ chơi, trẻ chăm chú nhìn, với tay tới đồ vật/âm thanh mới.</t>
  </si>
  <si>
    <t xml:space="preserve">Luyện ở mức “chăm chú nhìn, với tay tới đồ vật/âm thanh mới” thông qua: Giới thiệu đồ chơi, học liệu mới; tạo bất ngờ thú vị; quan sát cây, con vật mới.</t>
  </si>
  <si>
    <t xml:space="preserve">Trẻ chậm / cần hỗ trợ: lùi về mốc liền trước, tăng làm mẫu – cầm tay – lặp lại; tạo môi trường nhiều đồ vật mới; thay đổi học liệu theo chủ đề.</t>
  </si>
  <si>
    <t xml:space="preserve">Trong sinh hoạt/giờ chơi, trẻ tỏ ngạc nhiên, thích thú với điều mới.</t>
  </si>
  <si>
    <t xml:space="preserve">Luyện ở mức “tỏ ngạc nhiên, thích thú với điều mới” thông qua: Giới thiệu đồ chơi, học liệu mới; tạo bất ngờ thú vị; quan sát cây, con vật mới.</t>
  </si>
  <si>
    <t xml:space="preserve">Trong sinh hoạt/giờ chơi, trẻ lắng nghe, quan sát điều mới lâu hơn.</t>
  </si>
  <si>
    <t xml:space="preserve">Luyện ở mức “lắng nghe, quan sát điều mới lâu hơn” thông qua: Giới thiệu đồ chơi, học liệu mới; tạo bất ngờ thú vị; quan sát cây, con vật mới.</t>
  </si>
  <si>
    <t xml:space="preserve">Trong sinh hoạt/giờ chơi, trẻ chú ý + ra hiệu/hỏi về điều mới.</t>
  </si>
  <si>
    <t xml:space="preserve">Luyện ở mức “chú ý + ra hiệu/hỏi về điều mới” thông qua: Giới thiệu đồ chơi, học liệu mới; tạo bất ngờ thú vị; quan sát cây, con vật mới.</t>
  </si>
  <si>
    <t xml:space="preserve">Trong sinh hoạt/giờ chơi, trẻ thích thú, chăm chú nhìn, nghe về điều mới.</t>
  </si>
  <si>
    <t xml:space="preserve">Luyện ở mức “thích thú, chăm chú nhìn, nghe về điều mới” thông qua: Giới thiệu đồ chơi, học liệu mới; tạo bất ngờ thú vị; quan sát cây, con vật mới.</t>
  </si>
  <si>
    <t xml:space="preserve">Trong sinh hoạt/giờ chơi, trẻ hỏi (gì đây) về con người, sự vật mới.</t>
  </si>
  <si>
    <t xml:space="preserve">Luyện ở mức “hỏi (gì đây) về con người, sự vật mới” thông qua: Giới thiệu đồ chơi, học liệu mới; tạo bất ngờ thú vị; quan sát cây, con vật mới.</t>
  </si>
  <si>
    <t xml:space="preserve">Trong sinh hoạt/giờ chơi, trẻ tò mò, hỏi nhiều về điều mới hơn.</t>
  </si>
  <si>
    <t xml:space="preserve">Luyện ở mức “tò mò, hỏi nhiều về điều mới hơn” thông qua: Giới thiệu đồ chơi, học liệu mới; tạo bất ngờ thú vị; quan sát cây, con vật mới.</t>
  </si>
  <si>
    <t xml:space="preserve">Mốc cuối 33–36 tháng (theo QĐ 388) — trẻ thích thú với những điều mới: chăm chú nhìn, nghe, hỏi về con người, sự vật, hiện tượng một cách ổn định, chủ động.</t>
  </si>
  <si>
    <t xml:space="preserve">Luyện ở mức “thích thú với những điều mới: chăm chú nhìn, nghe, hỏi về con người, sự vật, hiện tượng” thông qua: Giới thiệu đồ chơi, học liệu mới; tạo bất ngờ thú vị; quan sát cây, con vật mới.</t>
  </si>
  <si>
    <t xml:space="preserve">Trong sinh hoạt/giờ chơi, trẻ nhìn, sờ, cầm đồ vật quen thuộc.</t>
  </si>
  <si>
    <t xml:space="preserve">Luyện ở mức “nhìn, sờ, cầm đồ vật quen thuộc” thông qua: Cho trẻ sờ, cầm, lắc, nghe, ngửi; góc khám phá; chơi nước, cát; hộp âm thanh.</t>
  </si>
  <si>
    <t xml:space="preserve">Trẻ chậm / cần hỗ trợ: lùi về mốc liền trước, tăng làm mẫu – cầm tay – lặp lại; ưu tiên vật thật; khích lệ dùng nhiều giác quan; đảm bảo an toàn.</t>
  </si>
  <si>
    <t xml:space="preserve">Trong sinh hoạt/giờ chơi, trẻ lắc, đưa lên miệng khám phá đồ vật.</t>
  </si>
  <si>
    <t xml:space="preserve">Luyện ở mức “lắc, đưa lên miệng khám phá đồ vật” thông qua: Cho trẻ sờ, cầm, lắc, nghe, ngửi; góc khám phá; chơi nước, cát; hộp âm thanh.</t>
  </si>
  <si>
    <t xml:space="preserve">Trong sinh hoạt/giờ chơi, trẻ dùng vài giác quan khám phá đồ vật.</t>
  </si>
  <si>
    <t xml:space="preserve">Luyện ở mức “dùng vài giác quan khám phá đồ vật” thông qua: Cho trẻ sờ, cầm, lắc, nghe, ngửi; góc khám phá; chơi nước, cát; hộp âm thanh.</t>
  </si>
  <si>
    <t xml:space="preserve">Trong sinh hoạt/giờ chơi, trẻ sờ, nghe, nhìn để tìm hiểu đặc điểm.</t>
  </si>
  <si>
    <t xml:space="preserve">Luyện ở mức “sờ, nghe, nhìn để tìm hiểu đặc điểm” thông qua: Cho trẻ sờ, cầm, lắc, nghe, ngửi; góc khám phá; chơi nước, cát; hộp âm thanh.</t>
  </si>
  <si>
    <t xml:space="preserve">Trong sinh hoạt/giờ chơi, trẻ dùng các giác quan tìm hiểu đối tượng gần gũi.</t>
  </si>
  <si>
    <t xml:space="preserve">Luyện ở mức “dùng các giác quan tìm hiểu đối tượng gần gũi” thông qua: Cho trẻ sờ, cầm, lắc, nghe, ngửi; góc khám phá; chơi nước, cát; hộp âm thanh.</t>
  </si>
  <si>
    <t xml:space="preserve">Trong sinh hoạt/giờ chơi, trẻ khám phá đối tượng bằng nhiều giác quan hơn.</t>
  </si>
  <si>
    <t xml:space="preserve">Luyện ở mức “khám phá đối tượng bằng nhiều giác quan hơn” thông qua: Cho trẻ sờ, cầm, lắc, nghe, ngửi; góc khám phá; chơi nước, cát; hộp âm thanh.</t>
  </si>
  <si>
    <t xml:space="preserve">Trong sinh hoạt/giờ chơi, trẻ phối hợp giác quan khám phá khá tốt.</t>
  </si>
  <si>
    <t xml:space="preserve">Luyện ở mức “phối hợp giác quan khám phá khá tốt” thông qua: Cho trẻ sờ, cầm, lắc, nghe, ngửi; góc khám phá; chơi nước, cát; hộp âm thanh.</t>
  </si>
  <si>
    <t xml:space="preserve">Mốc cuối 33–36 tháng (theo QĐ 388) — trẻ sử dụng các giác quan để tìm hiểu, khám phá các đối tượng gần gũi xung quanh một cách ổn định, chủ động.</t>
  </si>
  <si>
    <t xml:space="preserve">Luyện ở mức “sử dụng các giác quan để tìm hiểu, khám phá các đối tượng gần gũi xung quanh” thông qua: Cho trẻ sờ, cầm, lắc, nghe, ngửi; góc khám phá; chơi nước, cát; hộp âm thanh.</t>
  </si>
  <si>
    <t xml:space="preserve">Trong sinh hoạt/giờ chơi, trẻ nhìn cô thao tác đồ vật.</t>
  </si>
  <si>
    <t xml:space="preserve">Luyện ở mức “nhìn cô thao tác đồ vật” thông qua: Cô làm mẫu lắc, gõ, mở; trẻ bắt chước, lặp lại; khám phá đồ vật cùng cô.</t>
  </si>
  <si>
    <t xml:space="preserve">Trẻ chậm / cần hỗ trợ: lùi về mốc liền trước, tăng làm mẫu – cầm tay – lặp lại; cho trẻ lặp lại nhiều lần; dùng vật thật; khích lệ bắt chước.</t>
  </si>
  <si>
    <t xml:space="preserve">Trong sinh hoạt/giờ chơi, trẻ bắt chước 1 hành động cô làm mẫu.</t>
  </si>
  <si>
    <t xml:space="preserve">Luyện ở mức “bắt chước 1 hành động cô làm mẫu” thông qua: Cô làm mẫu lắc, gõ, mở; trẻ bắt chước, lặp lại; khám phá đồ vật cùng cô.</t>
  </si>
  <si>
    <t xml:space="preserve">Trong sinh hoạt/giờ chơi, trẻ lặp lại hành động (lắc, gõ, mở) theo cô.</t>
  </si>
  <si>
    <t xml:space="preserve">Luyện ở mức “lặp lại hành động (lắc, gõ, mở) theo cô” thông qua: Cô làm mẫu lắc, gõ, mở; trẻ bắt chước, lặp lại; khám phá đồ vật cùng cô.</t>
  </si>
  <si>
    <t xml:space="preserve">Trong sinh hoạt/giờ chơi, trẻ bắt chước, lặp lại nhiều lần hành động.</t>
  </si>
  <si>
    <t xml:space="preserve">Luyện ở mức “bắt chước, lặp lại nhiều lần hành động” thông qua: Cô làm mẫu lắc, gõ, mở; trẻ bắt chước, lặp lại; khám phá đồ vật cùng cô.</t>
  </si>
  <si>
    <t xml:space="preserve">Trong sinh hoạt/giờ chơi, trẻ lặp lại hành động tìm hiểu theo gợi ý/bắt chước.</t>
  </si>
  <si>
    <t xml:space="preserve">Luyện ở mức “lặp lại hành động tìm hiểu theo gợi ý/bắt chước” thông qua: Cô làm mẫu lắc, gõ, mở; trẻ bắt chước, lặp lại; khám phá đồ vật cùng cô.</t>
  </si>
  <si>
    <t xml:space="preserve">Trong sinh hoạt/giờ chơi, trẻ bắt chước hành động khám phá phức tạp hơn.</t>
  </si>
  <si>
    <t xml:space="preserve">Luyện ở mức “bắt chước hành động khám phá phức tạp hơn” thông qua: Cô làm mẫu lắc, gõ, mở; trẻ bắt chước, lặp lại; khám phá đồ vật cùng cô.</t>
  </si>
  <si>
    <t xml:space="preserve">Trong sinh hoạt/giờ chơi, trẻ lặp lại, điều chỉnh hành động khám phá.</t>
  </si>
  <si>
    <t xml:space="preserve">Luyện ở mức “lặp lại, điều chỉnh hành động khám phá” thông qua: Cô làm mẫu lắc, gõ, mở; trẻ bắt chước, lặp lại; khám phá đồ vật cùng cô.</t>
  </si>
  <si>
    <t xml:space="preserve">Mốc cuối 33–36 tháng (theo QĐ 388) — trẻ thực hiện hoặc lặp lại các hành động tìm hiểu, khám phá con người, sự vật, hiện tượng gần gũi theo gợi ý hoặc bắt chước người khác một cách ổn định, chủ động.</t>
  </si>
  <si>
    <t xml:space="preserve">Luyện ở mức “thực hiện hoặc lặp lại các hành động tìm hiểu, khám phá con người, sự vật, hiện tượng gần gũi theo gợi ý hoặc bắt chước người khác” thông qua: Cô làm mẫu lắc, gõ, mở; trẻ bắt chước, lặp lại; khám phá đồ vật cùng cô.</t>
  </si>
  <si>
    <t xml:space="preserve">Trong sinh hoạt/giờ chơi, trẻ tác động đồ vật 1 cách (cầm, lắc).</t>
  </si>
  <si>
    <t xml:space="preserve">Luyện ở mức “tác động đồ vật 1 cách (cầm, lắc)” thông qua: Lắc tạo âm thanh; mở–đóng hộp; thả hình; xếp khối; chơi nước, cát nhiều cách.</t>
  </si>
  <si>
    <t xml:space="preserve">Trẻ chậm / cần hỗ trợ: lùi về mốc liền trước, tăng làm mẫu – cầm tay – lặp lại; chuẩn bị đồ vật, vật liệu mở; không áp đặt một cách chơi; đảm bảo an toàn.</t>
  </si>
  <si>
    <t xml:space="preserve">Trong sinh hoạt/giờ chơi, trẻ thử 2 cách (lắc, gõ) với đồ vật.</t>
  </si>
  <si>
    <t xml:space="preserve">Luyện ở mức “thử 2 cách (lắc, gõ) với đồ vật” thông qua: Lắc tạo âm thanh; mở–đóng hộp; thả hình; xếp khối; chơi nước, cát nhiều cách.</t>
  </si>
  <si>
    <t xml:space="preserve">Trong sinh hoạt/giờ chơi, trẻ thử nhiều cách (cầm, lắc, gõ, thả).</t>
  </si>
  <si>
    <t xml:space="preserve">Luyện ở mức “thử nhiều cách (cầm, lắc, gõ, thả)” thông qua: Lắc tạo âm thanh; mở–đóng hộp; thả hình; xếp khối; chơi nước, cát nhiều cách.</t>
  </si>
  <si>
    <t xml:space="preserve">Trong sinh hoạt/giờ chơi, trẻ thử cách mới khi cách cũ không được.</t>
  </si>
  <si>
    <t xml:space="preserve">Luyện ở mức “thử cách mới khi cách cũ không được” thông qua: Lắc tạo âm thanh; mở–đóng hộp; thả hình; xếp khối; chơi nước, cát nhiều cách.</t>
  </si>
  <si>
    <t xml:space="preserve">Trong sinh hoạt/giờ chơi, trẻ thử các cách khác nhau khám phá đồ vật.</t>
  </si>
  <si>
    <t xml:space="preserve">Luyện ở mức “thử các cách khác nhau khám phá đồ vật” thông qua: Lắc tạo âm thanh; mở–đóng hộp; thả hình; xếp khối; chơi nước, cát nhiều cách.</t>
  </si>
  <si>
    <t xml:space="preserve">Trong sinh hoạt/giờ chơi, trẻ thử nghiệm có chủ đích hơn với đồ vật.</t>
  </si>
  <si>
    <t xml:space="preserve">Luyện ở mức “thử nghiệm có chủ đích hơn với đồ vật” thông qua: Lắc tạo âm thanh; mở–đóng hộp; thả hình; xếp khối; chơi nước, cát nhiều cách.</t>
  </si>
  <si>
    <t xml:space="preserve">Trong sinh hoạt/giờ chơi, trẻ thử nhiều cách và quan sát kết quả.</t>
  </si>
  <si>
    <t xml:space="preserve">Luyện ở mức “thử nhiều cách và quan sát kết quả” thông qua: Lắc tạo âm thanh; mở–đóng hộp; thả hình; xếp khối; chơi nước, cát nhiều cách.</t>
  </si>
  <si>
    <t xml:space="preserve">Mốc cuối 33–36 tháng (theo QĐ 388) — trẻ thử các cách khác nhau để khám phá thế giới đồ vật một cách ổn định, chủ động.</t>
  </si>
  <si>
    <t xml:space="preserve">Luyện ở mức “thử các cách khác nhau để khám phá thế giới đồ vật” thông qua: Lắc tạo âm thanh; mở–đóng hộp; thả hình; xếp khối; chơi nước, cát nhiều cách.</t>
  </si>
  <si>
    <t xml:space="preserve">Trong sinh hoạt/giờ chơi, trẻ nhận ra, chỉ đồ vật/con vật quen thuộc.</t>
  </si>
  <si>
    <t xml:space="preserve">Luyện ở mức “nhận ra, chỉ đồ vật/con vật quen thuộc” thông qua: NBTN đồ vật, con vật; trẻ chỉ, gọi tên; xem tranh và mô tả; trò chơi con gì đây.</t>
  </si>
  <si>
    <t xml:space="preserve">Trẻ chậm / cần hỗ trợ: lùi về mốc liền trước, tăng làm mẫu – cầm tay – lặp lại; khích lệ trẻ chỉ, gọi tên; chấp nhận cách phát âm; mở rộng mô tả dần.</t>
  </si>
  <si>
    <t xml:space="preserve">Trong sinh hoạt/giờ chơi, trẻ bập bẹ gọi tên theo cách của trẻ.</t>
  </si>
  <si>
    <t xml:space="preserve">Luyện ở mức “bập bẹ gọi tên theo cách của trẻ” thông qua: NBTN đồ vật, con vật; trẻ chỉ, gọi tên; xem tranh và mô tả; trò chơi con gì đây.</t>
  </si>
  <si>
    <t xml:space="preserve">Trong sinh hoạt/giờ chơi, trẻ chỉ + gọi tên đối tượng quen thuộc.</t>
  </si>
  <si>
    <t xml:space="preserve">Luyện ở mức “chỉ + gọi tên đối tượng quen thuộc” thông qua: NBTN đồ vật, con vật; trẻ chỉ, gọi tên; xem tranh và mô tả; trò chơi con gì đây.</t>
  </si>
  <si>
    <t xml:space="preserve">Trong sinh hoạt/giờ chơi, trẻ gọi tên + nói 1 đặc điểm nổi bật.</t>
  </si>
  <si>
    <t xml:space="preserve">Luyện ở mức “gọi tên + nói 1 đặc điểm nổi bật” thông qua: NBTN đồ vật, con vật; trẻ chỉ, gọi tên; xem tranh và mô tả; trò chơi con gì đây.</t>
  </si>
  <si>
    <t xml:space="preserve">Trong sinh hoạt/giờ chơi, trẻ gọi tên, mô tả đặc điểm nổi bật.</t>
  </si>
  <si>
    <t xml:space="preserve">Luyện ở mức “gọi tên, mô tả đặc điểm nổi bật” thông qua: NBTN đồ vật, con vật; trẻ chỉ, gọi tên; xem tranh và mô tả; trò chơi con gì đây.</t>
  </si>
  <si>
    <t xml:space="preserve">Trong sinh hoạt/giờ chơi, trẻ mô tả vài đặc điểm của đối tượng.</t>
  </si>
  <si>
    <t xml:space="preserve">Luyện ở mức “mô tả vài đặc điểm của đối tượng” thông qua: NBTN đồ vật, con vật; trẻ chỉ, gọi tên; xem tranh và mô tả; trò chơi con gì đây.</t>
  </si>
  <si>
    <t xml:space="preserve">Trong sinh hoạt/giờ chơi, trẻ gọi tên, mô tả đặc điểm khá rõ.</t>
  </si>
  <si>
    <t xml:space="preserve">Luyện ở mức “gọi tên, mô tả đặc điểm khá rõ” thông qua: NBTN đồ vật, con vật; trẻ chỉ, gọi tên; xem tranh và mô tả; trò chơi con gì đây.</t>
  </si>
  <si>
    <t xml:space="preserve">Mốc cuối 33–36 tháng (theo QĐ 388) — trẻ gọi tên và mô tả đặc điểm nổi bật của con người, sự vật, hiện tượng gần gũi một cách ổn định, chủ động.</t>
  </si>
  <si>
    <t xml:space="preserve">Luyện ở mức “gọi tên và mô tả đặc điểm nổi bật của con người, sự vật, hiện tượng gần gũi” thông qua: NBTN đồ vật, con vật; trẻ chỉ, gọi tên; xem tranh và mô tả; trò chơi con gì đây.</t>
  </si>
  <si>
    <t xml:space="preserve">Trong sinh hoạt/giờ chơi, trẻ cầm, so sánh đồ vật to–nhỏ.</t>
  </si>
  <si>
    <t xml:space="preserve">Luyện ở mức “cầm, so sánh đồ vật to–nhỏ” thông qua: Chọn bóng to–nhỏ; xếp khối; làm quen một–nhiều qua thao tác; trò chơi tìm vật.</t>
  </si>
  <si>
    <t xml:space="preserve">Trẻ chậm / cần hỗ trợ: lùi về mốc liền trước, tăng làm mẫu – cầm tay – lặp lại; nhận biết qua thao tác trực tiếp với đồ vật; không ép trẻ đếm.</t>
  </si>
  <si>
    <t xml:space="preserve">Trong sinh hoạt/giờ chơi, trẻ làm quen 'một' và 'nhiều' qua thao tác.</t>
  </si>
  <si>
    <t xml:space="preserve">Luyện ở mức “làm quen 'một' và 'nhiều' qua thao tác” thông qua: Chọn bóng to–nhỏ; xếp khối; làm quen một–nhiều qua thao tác; trò chơi tìm vật.</t>
  </si>
  <si>
    <t xml:space="preserve">Trong sinh hoạt/giờ chơi, trẻ chọn vật to/nhỏ theo cô.</t>
  </si>
  <si>
    <t xml:space="preserve">Luyện ở mức “chọn vật to/nhỏ theo cô” thông qua: Chọn bóng to–nhỏ; xếp khối; làm quen một–nhiều qua thao tác; trò chơi tìm vật.</t>
  </si>
  <si>
    <t xml:space="preserve">Trong sinh hoạt/giờ chơi, trẻ phân biệt to–nhỏ, một–nhiều rõ hơn.</t>
  </si>
  <si>
    <t xml:space="preserve">Luyện ở mức “phân biệt to–nhỏ, một–nhiều rõ hơn” thông qua: Chọn bóng to–nhỏ; xếp khối; làm quen một–nhiều qua thao tác; trò chơi tìm vật.</t>
  </si>
  <si>
    <t xml:space="preserve">Trong sinh hoạt/giờ chơi, trẻ nhận biết số lượng (một–nhiều), kích thước.</t>
  </si>
  <si>
    <t xml:space="preserve">Luyện ở mức “nhận biết số lượng (một–nhiều), kích thước” thông qua: Chọn bóng to–nhỏ; xếp khối; làm quen một–nhiều qua thao tác; trò chơi tìm vật.</t>
  </si>
  <si>
    <t xml:space="preserve">Trong sinh hoạt/giờ chơi, trẻ nhận biết to–nhỏ, một–nhiều khá chắc.</t>
  </si>
  <si>
    <t xml:space="preserve">Luyện ở mức “nhận biết to–nhỏ, một–nhiều khá chắc” thông qua: Chọn bóng to–nhỏ; xếp khối; làm quen một–nhiều qua thao tác; trò chơi tìm vật.</t>
  </si>
  <si>
    <t xml:space="preserve">Trong sinh hoạt/giờ chơi, trẻ nhận biết số lượng, kích thước nhiều đồ vật hơn.</t>
  </si>
  <si>
    <t xml:space="preserve">Luyện ở mức “nhận biết số lượng, kích thước nhiều đồ vật hơn” thông qua: Chọn bóng to–nhỏ; xếp khối; làm quen một–nhiều qua thao tác; trò chơi tìm vật.</t>
  </si>
  <si>
    <t xml:space="preserve">Mốc cuối 33–36 tháng (theo QĐ 388) — trẻ nhận biết số lượng và kích thước của một số đồ vật một cách ổn định, chủ động.</t>
  </si>
  <si>
    <t xml:space="preserve">Luyện ở mức “nhận biết số lượng và kích thước của một số đồ vật” thông qua: Chọn bóng to–nhỏ; xếp khối; làm quen một–nhiều qua thao tác; trò chơi tìm vật.</t>
  </si>
  <si>
    <t xml:space="preserve">Trong sinh hoạt/giờ chơi, trẻ cầm vật dạng tròn làm quen.</t>
  </si>
  <si>
    <t xml:space="preserve">Luyện ở mức “cầm vật dạng tròn làm quen” thông qua: Thả hình; chọn vật tròn; ghép hình đơn giản; quan sát bánh xe, quả bóng.</t>
  </si>
  <si>
    <t xml:space="preserve">Trẻ chậm / cần hỗ trợ: lùi về mốc liền trước, tăng làm mẫu – cầm tay – lặp lại; cho trẻ thao tác trực tiếp với hình và vật dạng tròn; không ép gọi tên sớm.</t>
  </si>
  <si>
    <t xml:space="preserve">Trong sinh hoạt/giờ chơi, trẻ thả hình tròn vào khuôn.</t>
  </si>
  <si>
    <t xml:space="preserve">Luyện ở mức “thả hình tròn vào khuôn” thông qua: Thả hình; chọn vật tròn; ghép hình đơn giản; quan sát bánh xe, quả bóng.</t>
  </si>
  <si>
    <t xml:space="preserve">Trong sinh hoạt/giờ chơi, trẻ nhặt vật tròn theo cô.</t>
  </si>
  <si>
    <t xml:space="preserve">Luyện ở mức “nhặt vật tròn theo cô” thông qua: Thả hình; chọn vật tròn; ghép hình đơn giản; quan sát bánh xe, quả bóng.</t>
  </si>
  <si>
    <t xml:space="preserve">Trong sinh hoạt/giờ chơi, trẻ làm quen hình tròn qua nhiều thao tác.</t>
  </si>
  <si>
    <t xml:space="preserve">Luyện ở mức “làm quen hình tròn qua nhiều thao tác” thông qua: Thả hình; chọn vật tròn; ghép hình đơn giản; quan sát bánh xe, quả bóng.</t>
  </si>
  <si>
    <t xml:space="preserve">Trong sinh hoạt/giờ chơi, trẻ nhận biết hình tròn (chưa cần gọi tên).</t>
  </si>
  <si>
    <t xml:space="preserve">Luyện ở mức “nhận biết hình tròn (chưa cần gọi tên)” thông qua: Thả hình; chọn vật tròn; ghép hình đơn giản; quan sát bánh xe, quả bóng.</t>
  </si>
  <si>
    <t xml:space="preserve">Trong sinh hoạt/giờ chơi, trẻ chọn hình tròn theo yêu cầu.</t>
  </si>
  <si>
    <t xml:space="preserve">Luyện ở mức “chọn hình tròn theo yêu cầu” thông qua: Thả hình; chọn vật tròn; ghép hình đơn giản; quan sát bánh xe, quả bóng.</t>
  </si>
  <si>
    <t xml:space="preserve">Trong sinh hoạt/giờ chơi, trẻ nhận biết, bước đầu gọi tên hình tròn.</t>
  </si>
  <si>
    <t xml:space="preserve">Luyện ở mức “nhận biết, bước đầu gọi tên hình tròn” thông qua: Thả hình; chọn vật tròn; ghép hình đơn giản; quan sát bánh xe, quả bóng.</t>
  </si>
  <si>
    <t xml:space="preserve">Mốc cuối 33–36 tháng (theo QĐ 388) — trẻ nhận biết và gọi tên một số hình phẳng cơ bản một cách ổn định, chủ động.</t>
  </si>
  <si>
    <t xml:space="preserve">Luyện ở mức “nhận biết và gọi tên một số hình phẳng cơ bản” thông qua: Thả hình; chọn vật tròn; ghép hình đơn giản; quan sát bánh xe, quả bóng.</t>
  </si>
  <si>
    <t xml:space="preserve">Trong sinh hoạt/giờ chơi, trẻ thực hiện hành động đúng công dụng (đưa cốc lên miệng).</t>
  </si>
  <si>
    <t xml:space="preserve">Luyện ở mức “thực hiện hành động đúng công dụng (đưa cốc lên miệng)” thông qua: NBTN bát, thìa, cốc; thực hành dùng đúng cách; cho búp bê ăn; dùng bình tưới cây.</t>
  </si>
  <si>
    <t xml:space="preserve">Trẻ chậm / cần hỗ trợ: lùi về mốc liền trước, tăng làm mẫu – cầm tay – lặp lại; cô làm mẫu, hướng dẫn chú ý kết quả; cho trẻ lặp lại.</t>
  </si>
  <si>
    <t xml:space="preserve">Trong sinh hoạt/giờ chơi, trẻ cầm thìa xúc; dùng đồ vật quen thuộc đúng cách.</t>
  </si>
  <si>
    <t xml:space="preserve">Luyện ở mức “cầm thìa xúc; dùng đồ vật quen thuộc đúng cách” thông qua: NBTN bát, thìa, cốc; thực hành dùng đúng cách; cho búp bê ăn; dùng bình tưới cây.</t>
  </si>
  <si>
    <t xml:space="preserve">Trong sinh hoạt/giờ chơi, trẻ dùng vài đồ vật đúng công dụng.</t>
  </si>
  <si>
    <t xml:space="preserve">Luyện ở mức “dùng vài đồ vật đúng công dụng” thông qua: NBTN bát, thìa, cốc; thực hành dùng đúng cách; cho búp bê ăn; dùng bình tưới cây.</t>
  </si>
  <si>
    <t xml:space="preserve">Trong sinh hoạt/giờ chơi, trẻ biết công dụng đồ vật qua hành động.</t>
  </si>
  <si>
    <t xml:space="preserve">Luyện ở mức “biết công dụng đồ vật qua hành động” thông qua: NBTN bát, thìa, cốc; thực hành dùng đúng cách; cho búp bê ăn; dùng bình tưới cây.</t>
  </si>
  <si>
    <t xml:space="preserve">Trong sinh hoạt/giờ chơi, trẻ nói (theo cách trẻ) công dụng đồ vật quen thuộc.</t>
  </si>
  <si>
    <t xml:space="preserve">Luyện ở mức “nói (theo cách trẻ) công dụng đồ vật quen thuộc” thông qua: NBTN bát, thìa, cốc; thực hành dùng đúng cách; cho búp bê ăn; dùng bình tưới cây.</t>
  </si>
  <si>
    <t xml:space="preserve">Trong sinh hoạt/giờ chơi, trẻ nói công dụng vài đồ vật.</t>
  </si>
  <si>
    <t xml:space="preserve">Luyện ở mức “nói công dụng vài đồ vật” thông qua: NBTN bát, thìa, cốc; thực hành dùng đúng cách; cho búp bê ăn; dùng bình tưới cây.</t>
  </si>
  <si>
    <t xml:space="preserve">Trong sinh hoạt/giờ chơi, trẻ nói công dụng nhiều đồ vật quen thuộc hơn.</t>
  </si>
  <si>
    <t xml:space="preserve">Luyện ở mức “nói công dụng nhiều đồ vật quen thuộc hơn” thông qua: NBTN bát, thìa, cốc; thực hành dùng đúng cách; cho búp bê ăn; dùng bình tưới cây.</t>
  </si>
  <si>
    <t xml:space="preserve">Mốc cuối 33–36 tháng (theo QĐ 388) — trẻ nói được công dụng của một số đồ vật quen thuộc một cách ổn định, chủ động.</t>
  </si>
  <si>
    <t xml:space="preserve">Luyện ở mức “nói được công dụng của một số đồ vật quen thuộc” thông qua: NBTN bát, thìa, cốc; thực hành dùng đúng cách; cho búp bê ăn; dùng bình tưới cây.</t>
  </si>
  <si>
    <t xml:space="preserve">Trong sinh hoạt/giờ chơi, trẻ chú ý thay đổi rõ rệt (đèn bật–tắt).</t>
  </si>
  <si>
    <t xml:space="preserve">Luyện ở mức “chú ý thay đổi rõ rệt (đèn bật–tắt)” thông qua: Tạo tình huống bật–tắt, mở–đóng, giấu–hiện; quan sát mây, nắng, hoa nở.</t>
  </si>
  <si>
    <t xml:space="preserve">Trẻ chậm / cần hỗ trợ: lùi về mốc liền trước, tăng làm mẫu – cầm tay – lặp lại; tạo tình huống thay đổi rõ rệt, lặp lại để trẻ nhận ra.</t>
  </si>
  <si>
    <t xml:space="preserve">Trong sinh hoạt/giờ chơi, trẻ phản ứng với mở–đóng, có–không.</t>
  </si>
  <si>
    <t xml:space="preserve">Luyện ở mức “phản ứng với mở–đóng, có–không” thông qua: Tạo tình huống bật–tắt, mở–đóng, giấu–hiện; quan sát mây, nắng, hoa nở.</t>
  </si>
  <si>
    <t xml:space="preserve">Trong sinh hoạt/giờ chơi, trẻ nhận ra thay đổi khi cô tạo tình huống.</t>
  </si>
  <si>
    <t xml:space="preserve">Luyện ở mức “nhận ra thay đổi khi cô tạo tình huống” thông qua: Tạo tình huống bật–tắt, mở–đóng, giấu–hiện; quan sát mây, nắng, hoa nở.</t>
  </si>
  <si>
    <t xml:space="preserve">Trong sinh hoạt/giờ chơi, trẻ chú ý thay đổi của sự vật quen thuộc.</t>
  </si>
  <si>
    <t xml:space="preserve">Luyện ở mức “chú ý thay đổi của sự vật quen thuộc” thông qua: Tạo tình huống bật–tắt, mở–đóng, giấu–hiện; quan sát mây, nắng, hoa nở.</t>
  </si>
  <si>
    <t xml:space="preserve">Trong sinh hoạt/giờ chơi, trẻ nhận biết sự thay đổi bên ngoài của đối tượng.</t>
  </si>
  <si>
    <t xml:space="preserve">Luyện ở mức “nhận biết sự thay đổi bên ngoài của đối tượng” thông qua: Tạo tình huống bật–tắt, mở–đóng, giấu–hiện; quan sát mây, nắng, hoa nở.</t>
  </si>
  <si>
    <t xml:space="preserve">Trong sinh hoạt/giờ chơi, trẻ nhận ra nhiều thay đổi hơn (hoa nở, trời mưa).</t>
  </si>
  <si>
    <t xml:space="preserve">Luyện ở mức “nhận ra nhiều thay đổi hơn (hoa nở, trời mưa)” thông qua: Tạo tình huống bật–tắt, mở–đóng, giấu–hiện; quan sát mây, nắng, hoa nở.</t>
  </si>
  <si>
    <t xml:space="preserve">Trong sinh hoạt/giờ chơi, trẻ nhận biết, nói (theo cách trẻ) về thay đổi.</t>
  </si>
  <si>
    <t xml:space="preserve">Luyện ở mức “nhận biết, nói (theo cách trẻ) về thay đổi” thông qua: Tạo tình huống bật–tắt, mở–đóng, giấu–hiện; quan sát mây, nắng, hoa nở.</t>
  </si>
  <si>
    <t xml:space="preserve">Mốc cuối 33–36 tháng (theo QĐ 388) — trẻ nhận biết sự thay đổi bên ngoài của con người, sự vật, hiện tượng gần gũi một cách ổn định, chủ động.</t>
  </si>
  <si>
    <t xml:space="preserve">Luyện ở mức “nhận biết sự thay đổi bên ngoài của con người, sự vật, hiện tượng gần gũi” thông qua: Tạo tình huống bật–tắt, mở–đóng, giấu–hiện; quan sát mây, nắng, hoa nở.</t>
  </si>
  <si>
    <t xml:space="preserve">Trong sinh hoạt/giờ chơi, trẻ chọn 1 trong 2 đồ vật khi cô đưa.</t>
  </si>
  <si>
    <t xml:space="preserve">Luyện ở mức “chọn 1 trong 2 đồ vật khi cô đưa” thông qua: NBTN phân biệt búp bê–bóng, gà–cá; chọn theo cô; ghép cặp tranh đơn giản.</t>
  </si>
  <si>
    <t xml:space="preserve">Trẻ chậm / cần hỗ trợ: lùi về mốc liền trước, tăng làm mẫu – cầm tay – lặp lại; dùng đồ vật khác nhau rõ nét; khích lệ chọn đúng theo yêu cầu.</t>
  </si>
  <si>
    <t xml:space="preserve">Trong sinh hoạt/giờ chơi, trẻ chọn đúng vật khác nhau rõ nét theo cô.</t>
  </si>
  <si>
    <t xml:space="preserve">Luyện ở mức “chọn đúng vật khác nhau rõ nét theo cô” thông qua: NBTN phân biệt búp bê–bóng, gà–cá; chọn theo cô; ghép cặp tranh đơn giản.</t>
  </si>
  <si>
    <t xml:space="preserve">Trong sinh hoạt/giờ chơi, trẻ phân biệt 2 đồ vật khác nhau rõ nét.</t>
  </si>
  <si>
    <t xml:space="preserve">Luyện ở mức “phân biệt 2 đồ vật khác nhau rõ nét” thông qua: NBTN phân biệt búp bê–bóng, gà–cá; chọn theo cô; ghép cặp tranh đơn giản.</t>
  </si>
  <si>
    <t xml:space="preserve">Trong sinh hoạt/giờ chơi, trẻ chọn đúng 1 trong 2 theo yêu cầu.</t>
  </si>
  <si>
    <t xml:space="preserve">Luyện ở mức “chọn đúng 1 trong 2 theo yêu cầu” thông qua: NBTN phân biệt búp bê–bóng, gà–cá; chọn theo cô; ghép cặp tranh đơn giản.</t>
  </si>
  <si>
    <t xml:space="preserve">Trong sinh hoạt/giờ chơi, trẻ phân biệt hai đối tượng (to–nhỏ, khác loại).</t>
  </si>
  <si>
    <t xml:space="preserve">Luyện ở mức “phân biệt hai đối tượng (to–nhỏ, khác loại)” thông qua: NBTN phân biệt búp bê–bóng, gà–cá; chọn theo cô; ghép cặp tranh đơn giản.</t>
  </si>
  <si>
    <t xml:space="preserve">Trong sinh hoạt/giờ chơi, trẻ phân biệt 2 đối tượng khác nhau hơn.</t>
  </si>
  <si>
    <t xml:space="preserve">Luyện ở mức “phân biệt 2 đối tượng khác nhau hơn” thông qua: NBTN phân biệt búp bê–bóng, gà–cá; chọn theo cô; ghép cặp tranh đơn giản.</t>
  </si>
  <si>
    <t xml:space="preserve">Trong sinh hoạt/giờ chơi, trẻ phân biệt hai đối tượng khá chắc chắn.</t>
  </si>
  <si>
    <t xml:space="preserve">Luyện ở mức “phân biệt hai đối tượng khá chắc chắn” thông qua: NBTN phân biệt búp bê–bóng, gà–cá; chọn theo cô; ghép cặp tranh đơn giản.</t>
  </si>
  <si>
    <t xml:space="preserve">Mốc cuối 33–36 tháng (theo QĐ 388) — trẻ phân biệt được hai đối tượng một cách ổn định, chủ động.</t>
  </si>
  <si>
    <t xml:space="preserve">Luyện ở mức “phân biệt được hai đối tượng” thông qua: NBTN phân biệt búp bê–bóng, gà–cá; chọn theo cô; ghép cặp tranh đơn giản.</t>
  </si>
  <si>
    <t xml:space="preserve">Trong sinh hoạt/giờ chơi, trẻ bắt chước cô bỏ vật vào rổ.</t>
  </si>
  <si>
    <t xml:space="preserve">Luyện ở mức “bắt chước cô bỏ vật vào rổ” thông qua: Bỏ bóng với bóng, khối với khối theo cô; chọn con vật cùng nhóm; trò chơi tìm nhóm.</t>
  </si>
  <si>
    <t xml:space="preserve">Trẻ chậm / cần hỗ trợ: lùi về mốc liền trước, tăng làm mẫu – cầm tay – lặp lại; tăng tình huống phân loại đơn giản qua bắt chước; mở rộng tiêu chí dần.</t>
  </si>
  <si>
    <t xml:space="preserve">Trong sinh hoạt/giờ chơi, trẻ bỏ vật cùng loại vào rổ (bóng với bóng).</t>
  </si>
  <si>
    <t xml:space="preserve">Luyện ở mức “bỏ vật cùng loại vào rổ (bóng với bóng)” thông qua: Bỏ bóng với bóng, khối với khối theo cô; chọn con vật cùng nhóm; trò chơi tìm nhóm.</t>
  </si>
  <si>
    <t xml:space="preserve">Trong sinh hoạt/giờ chơi, trẻ phân loại đơn giản theo cô.</t>
  </si>
  <si>
    <t xml:space="preserve">Luyện ở mức “phân loại đơn giản theo cô” thông qua: Bỏ bóng với bóng, khối với khối theo cô; chọn con vật cùng nhóm; trò chơi tìm nhóm.</t>
  </si>
  <si>
    <t xml:space="preserve">Trong sinh hoạt/giờ chơi, trẻ chọn vật cùng nhóm theo cô.</t>
  </si>
  <si>
    <t xml:space="preserve">Luyện ở mức “chọn vật cùng nhóm theo cô” thông qua: Bỏ bóng với bóng, khối với khối theo cô; chọn con vật cùng nhóm; trò chơi tìm nhóm.</t>
  </si>
  <si>
    <t xml:space="preserve">Trong sinh hoạt/giờ chơi, trẻ phân loại theo một đặc điểm chung.</t>
  </si>
  <si>
    <t xml:space="preserve">Luyện ở mức “phân loại theo một đặc điểm chung” thông qua: Bỏ bóng với bóng, khối với khối theo cô; chọn con vật cùng nhóm; trò chơi tìm nhóm.</t>
  </si>
  <si>
    <t xml:space="preserve">Trong sinh hoạt/giờ chơi, trẻ phân loại theo đặc điểm rõ hơn.</t>
  </si>
  <si>
    <t xml:space="preserve">Luyện ở mức “phân loại theo đặc điểm rõ hơn” thông qua: Bỏ bóng với bóng, khối với khối theo cô; chọn con vật cùng nhóm; trò chơi tìm nhóm.</t>
  </si>
  <si>
    <t xml:space="preserve">Trong sinh hoạt/giờ chơi, trẻ phân loại nhiều nhóm hơn.</t>
  </si>
  <si>
    <t xml:space="preserve">Luyện ở mức “phân loại nhiều nhóm hơn” thông qua: Bỏ bóng với bóng, khối với khối theo cô; chọn con vật cùng nhóm; trò chơi tìm nhóm.</t>
  </si>
  <si>
    <t xml:space="preserve">Mốc cuối 33–36 tháng (theo QĐ 388) — trẻ phân loại sự vật dựa trên một đặc điểm chung một cách ổn định, chủ động.</t>
  </si>
  <si>
    <t xml:space="preserve">Luyện ở mức “phân loại sự vật dựa trên một đặc điểm chung” thông qua: Bỏ bóng với bóng, khối với khối theo cô; chọn con vật cùng nhóm; trò chơi tìm nhóm.</t>
  </si>
  <si>
    <t xml:space="preserve">Trong sinh hoạt/giờ chơi, trẻ bỏ vào – lấy ra khỏi rổ theo cô.</t>
  </si>
  <si>
    <t xml:space="preserve">Luyện ở mức “bỏ vào – lấy ra khỏi rổ theo cô” thông qua: Bỏ đồ vào–lấy ra khỏi hộp; đặt vật lên giá; trò chơi 'ở đâu'.</t>
  </si>
  <si>
    <t xml:space="preserve">Trẻ chậm / cần hỗ trợ: lùi về mốc liền trước, tăng làm mẫu – cầm tay – lặp lại; lồng ghép trong–ngoài, trên–dưới khi chơi và dọn dẹp.</t>
  </si>
  <si>
    <t xml:space="preserve">Trong sinh hoạt/giờ chơi, trẻ làm quen 'trong–ngoài' qua thao tác.</t>
  </si>
  <si>
    <t xml:space="preserve">Luyện ở mức “làm quen 'trong–ngoài' qua thao tác” thông qua: Bỏ đồ vào–lấy ra khỏi hộp; đặt vật lên giá; trò chơi 'ở đâu'.</t>
  </si>
  <si>
    <t xml:space="preserve">Trong sinh hoạt/giờ chơi, trẻ đặt vật 'lên' theo yêu cầu.</t>
  </si>
  <si>
    <t xml:space="preserve">Luyện ở mức “đặt vật 'lên' theo yêu cầu” thông qua: Bỏ đồ vào–lấy ra khỏi hộp; đặt vật lên giá; trò chơi 'ở đâu'.</t>
  </si>
  <si>
    <t xml:space="preserve">Trong sinh hoạt/giờ chơi, trẻ làm quen 'trên–dưới', 'trong–ngoài'.</t>
  </si>
  <si>
    <t xml:space="preserve">Luyện ở mức “làm quen 'trên–dưới', 'trong–ngoài'” thông qua: Bỏ đồ vào–lấy ra khỏi hộp; đặt vật lên giá; trò chơi 'ở đâu'.</t>
  </si>
  <si>
    <t xml:space="preserve">Trong sinh hoạt/giờ chơi, trẻ xác định vị trí vật so với bản thân.</t>
  </si>
  <si>
    <t xml:space="preserve">Luyện ở mức “xác định vị trí vật so với bản thân” thông qua: Bỏ đồ vào–lấy ra khỏi hộp; đặt vật lên giá; trò chơi 'ở đâu'.</t>
  </si>
  <si>
    <t xml:space="preserve">Trong sinh hoạt/giờ chơi, trẻ xác định vài vị trí (trên–dưới, trong–ngoài).</t>
  </si>
  <si>
    <t xml:space="preserve">Luyện ở mức “xác định vài vị trí (trên–dưới, trong–ngoài)” thông qua: Bỏ đồ vào–lấy ra khỏi hộp; đặt vật lên giá; trò chơi 'ở đâu'.</t>
  </si>
  <si>
    <t xml:space="preserve">Trong sinh hoạt/giờ chơi, trẻ xác định vị trí vật khá chắc chắn.</t>
  </si>
  <si>
    <t xml:space="preserve">Luyện ở mức “xác định vị trí vật khá chắc chắn” thông qua: Bỏ đồ vào–lấy ra khỏi hộp; đặt vật lên giá; trò chơi 'ở đâu'.</t>
  </si>
  <si>
    <t xml:space="preserve">Mốc cuối 33–36 tháng (theo QĐ 388) — trẻ xác định vị trí của vật so với bản thân một cách ổn định, chủ động.</t>
  </si>
  <si>
    <t xml:space="preserve">Luyện ở mức “xác định vị trí của vật so với bản thân” thông qua: Bỏ đồ vào–lấy ra khỏi hộp; đặt vật lên giá; trò chơi 'ở đâu'.</t>
  </si>
  <si>
    <t xml:space="preserve">Trong sinh hoạt/giờ chơi, trẻ thực hiện hành động quen (đói đòi ăn) có hỗ trợ.</t>
  </si>
  <si>
    <t xml:space="preserve">Luyện ở mức “thực hiện hành động quen (đói đòi ăn) có hỗ trợ” thông qua: Hướng dẫn lấy cốc khi khát; chăm sóc búp bê; xử lý tình huống qua tranh.</t>
  </si>
  <si>
    <t xml:space="preserve">Trẻ chậm / cần hỗ trợ: lùi về mốc liền trước, tăng làm mẫu – cầm tay – lặp lại; khích lệ trẻ tự làm trước khi nhờ giúp; tạo tình huống thực tế.</t>
  </si>
  <si>
    <t xml:space="preserve">Trong sinh hoạt/giờ chơi, trẻ lấy cốc khi khát theo hướng dẫn.</t>
  </si>
  <si>
    <t xml:space="preserve">Luyện ở mức “lấy cốc khi khát theo hướng dẫn” thông qua: Hướng dẫn lấy cốc khi khát; chăm sóc búp bê; xử lý tình huống qua tranh.</t>
  </si>
  <si>
    <t xml:space="preserve">Trong sinh hoạt/giờ chơi, trẻ hành động đúng tình huống quen thuộc.</t>
  </si>
  <si>
    <t xml:space="preserve">Luyện ở mức “hành động đúng tình huống quen thuộc” thông qua: Hướng dẫn lấy cốc khi khát; chăm sóc búp bê; xử lý tình huống qua tranh.</t>
  </si>
  <si>
    <t xml:space="preserve">Trong sinh hoạt/giờ chơi, trẻ tự xử lý vài tình huống sinh hoạt đơn giản.</t>
  </si>
  <si>
    <t xml:space="preserve">Luyện ở mức “tự xử lý vài tình huống sinh hoạt đơn giản” thông qua: Hướng dẫn lấy cốc khi khát; chăm sóc búp bê; xử lý tình huống qua tranh.</t>
  </si>
  <si>
    <t xml:space="preserve">Trong sinh hoạt/giờ chơi, trẻ hành động phù hợp tình huống sinh hoạt.</t>
  </si>
  <si>
    <t xml:space="preserve">Luyện ở mức “hành động phù hợp tình huống sinh hoạt” thông qua: Hướng dẫn lấy cốc khi khát; chăm sóc búp bê; xử lý tình huống qua tranh.</t>
  </si>
  <si>
    <t xml:space="preserve">Trong sinh hoạt/giờ chơi, trẻ xử lý tình huống sinh hoạt chủ động hơn.</t>
  </si>
  <si>
    <t xml:space="preserve">Luyện ở mức “xử lý tình huống sinh hoạt chủ động hơn” thông qua: Hướng dẫn lấy cốc khi khát; chăm sóc búp bê; xử lý tình huống qua tranh.</t>
  </si>
  <si>
    <t xml:space="preserve">Trong sinh hoạt/giờ chơi, trẻ hành động phù hợp nhiều tình huống hơn.</t>
  </si>
  <si>
    <t xml:space="preserve">Luyện ở mức “hành động phù hợp nhiều tình huống hơn” thông qua: Hướng dẫn lấy cốc khi khát; chăm sóc búp bê; xử lý tình huống qua tranh.</t>
  </si>
  <si>
    <t xml:space="preserve">Mốc cuối 33–36 tháng (theo QĐ 388) — trẻ thể hiện hành động đơn giản phù hợp với tình huống trong sinh hoạt hằng ngày một cách ổn định, chủ động.</t>
  </si>
  <si>
    <t xml:space="preserve">Luyện ở mức “thể hiện hành động đơn giản phù hợp với tình huống trong sinh hoạt hằng ngày” thông qua: Hướng dẫn lấy cốc khi khát; chăm sóc búp bê; xử lý tình huống qua tranh.</t>
  </si>
  <si>
    <t xml:space="preserve">Trong sinh hoạt/giờ chơi, trẻ thử lấy đồ vật ở gần.</t>
  </si>
  <si>
    <t xml:space="preserve">Luyện ở mức “thử lấy đồ vật ở gần” thông qua: Mở–đóng hộp; lấy đồ trong hộp; ghép hình; tìm đồ vật bị giấu.</t>
  </si>
  <si>
    <t xml:space="preserve">Trẻ chậm / cần hỗ trợ: lùi về mốc liền trước, tăng làm mẫu – cầm tay – lặp lại; không làm thay; cho trẻ thử–sai–lặp lại; hỗ trợ khi thực sự cần.</t>
  </si>
  <si>
    <t xml:space="preserve">Trong sinh hoạt/giờ chơi, trẻ thử mở hộp, thả hình.</t>
  </si>
  <si>
    <t xml:space="preserve">Luyện ở mức “thử mở hộp, thả hình” thông qua: Mở–đóng hộp; lấy đồ trong hộp; ghép hình; tìm đồ vật bị giấu.</t>
  </si>
  <si>
    <t xml:space="preserve">Trong sinh hoạt/giờ chơi, trẻ thử nhiều lần để đạt mục tiêu.</t>
  </si>
  <si>
    <t xml:space="preserve">Luyện ở mức “thử nhiều lần để đạt mục tiêu” thông qua: Mở–đóng hộp; lấy đồ trong hộp; ghép hình; tìm đồ vật bị giấu.</t>
  </si>
  <si>
    <t xml:space="preserve">Trong sinh hoạt/giờ chơi, trẻ điều chỉnh cách làm khi chưa được.</t>
  </si>
  <si>
    <t xml:space="preserve">Luyện ở mức “điều chỉnh cách làm khi chưa được” thông qua: Mở–đóng hộp; lấy đồ trong hộp; ghép hình; tìm đồ vật bị giấu.</t>
  </si>
  <si>
    <t xml:space="preserve">Trong sinh hoạt/giờ chơi, trẻ thử và điều chỉnh hành động giải quyết vấn đề.</t>
  </si>
  <si>
    <t xml:space="preserve">Luyện ở mức “thử và điều chỉnh hành động giải quyết vấn đề” thông qua: Mở–đóng hộp; lấy đồ trong hộp; ghép hình; tìm đồ vật bị giấu.</t>
  </si>
  <si>
    <t xml:space="preserve">Trong sinh hoạt/giờ chơi, trẻ giải quyết vấn đề đơn giản chủ động hơn.</t>
  </si>
  <si>
    <t xml:space="preserve">Luyện ở mức “giải quyết vấn đề đơn giản chủ động hơn” thông qua: Mở–đóng hộp; lấy đồ trong hộp; ghép hình; tìm đồ vật bị giấu.</t>
  </si>
  <si>
    <t xml:space="preserve">Trong sinh hoạt/giờ chơi, trẻ thử–điều chỉnh khá linh hoạt.</t>
  </si>
  <si>
    <t xml:space="preserve">Luyện ở mức “thử–điều chỉnh khá linh hoạt” thông qua: Mở–đóng hộp; lấy đồ trong hộp; ghép hình; tìm đồ vật bị giấu.</t>
  </si>
  <si>
    <t xml:space="preserve">Mốc cuối 33–36 tháng (theo QĐ 388) — trẻ thử và điều chỉnh hành động để giải quyết vấn đề đơn giản trong sinh hoạt hằng ngày một cách ổn định, chủ động.</t>
  </si>
  <si>
    <t xml:space="preserve">Luyện ở mức “thử và điều chỉnh hành động để giải quyết vấn đề đơn giản trong sinh hoạt hằng ngày” thông qua: Mở–đóng hộp; lấy đồ trong hộp; ghép hình; tìm đồ vật bị giấu.</t>
  </si>
  <si>
    <t xml:space="preserve">Trong sinh hoạt/giờ chơi, trẻ dùng đồ vật quen thuộc đúng cách có hỗ trợ.</t>
  </si>
  <si>
    <t xml:space="preserve">Luyện ở mức “dùng đồ vật quen thuộc đúng cách có hỗ trợ” thông qua: NBTN đồ dùng; dùng cốc, thìa, lăn bóng đúng cách; chăm sóc cây cùng cô.</t>
  </si>
  <si>
    <t xml:space="preserve">Trẻ chậm / cần hỗ trợ: lùi về mốc liền trước, tăng làm mẫu – cầm tay – lặp lại; cho trẻ tự dùng đồ vật quen thuộc theo khả năng với hỗ trợ.</t>
  </si>
  <si>
    <t xml:space="preserve">Trong sinh hoạt/giờ chơi, trẻ cầm cốc, thìa đúng cách.</t>
  </si>
  <si>
    <t xml:space="preserve">Luyện ở mức “cầm cốc, thìa đúng cách” thông qua: NBTN đồ dùng; dùng cốc, thìa, lăn bóng đúng cách; chăm sóc cây cùng cô.</t>
  </si>
  <si>
    <t xml:space="preserve">Trong sinh hoạt/giờ chơi, trẻ lăn bóng, dùng đồ vật quen thuộc.</t>
  </si>
  <si>
    <t xml:space="preserve">Luyện ở mức “lăn bóng, dùng đồ vật quen thuộc” thông qua: NBTN đồ dùng; dùng cốc, thìa, lăn bóng đúng cách; chăm sóc cây cùng cô.</t>
  </si>
  <si>
    <t xml:space="preserve">Trong sinh hoạt/giờ chơi, trẻ hành động dựa trên hiểu biết về đồ vật.</t>
  </si>
  <si>
    <t xml:space="preserve">Luyện ở mức “hành động dựa trên hiểu biết về đồ vật” thông qua: NBTN đồ dùng; dùng cốc, thìa, lăn bóng đúng cách; chăm sóc cây cùng cô.</t>
  </si>
  <si>
    <t xml:space="preserve">Trong sinh hoạt/giờ chơi, trẻ thực hiện hành động đơn giản dựa trên hiểu biết.</t>
  </si>
  <si>
    <t xml:space="preserve">Luyện ở mức “thực hiện hành động đơn giản dựa trên hiểu biết” thông qua: NBTN đồ dùng; dùng cốc, thìa, lăn bóng đúng cách; chăm sóc cây cùng cô.</t>
  </si>
  <si>
    <t xml:space="preserve">Trong sinh hoạt/giờ chơi, trẻ hành động phù hợp với đồ vật, môi trường hơn.</t>
  </si>
  <si>
    <t xml:space="preserve">Luyện ở mức “hành động phù hợp với đồ vật, môi trường hơn” thông qua: NBTN đồ dùng; dùng cốc, thìa, lăn bóng đúng cách; chăm sóc cây cùng cô.</t>
  </si>
  <si>
    <t xml:space="preserve">Trong sinh hoạt/giờ chơi, trẻ hành động dựa trên hiểu biết khá linh hoạt.</t>
  </si>
  <si>
    <t xml:space="preserve">Luyện ở mức “hành động dựa trên hiểu biết khá linh hoạt” thông qua: NBTN đồ dùng; dùng cốc, thìa, lăn bóng đúng cách; chăm sóc cây cùng cô.</t>
  </si>
  <si>
    <t xml:space="preserve">Mốc cuối 33–36 tháng (theo QĐ 388) — trẻ thực hiện các hành động đơn giản dựa trên hiểu biết về con người, đồ vật và môi trường xung quanh trong các tình huống quen thuộc một cách ổn định, chủ động.</t>
  </si>
  <si>
    <t xml:space="preserve">Luyện ở mức “thực hiện các hành động đơn giản dựa trên hiểu biết về con người, đồ vật và môi trường xung quanh trong các tình huống quen thuộc” thông qua: NBTN đồ dùng; dùng cốc, thìa, lăn bóng đúng cách; chăm sóc cây cùng cô.</t>
  </si>
  <si>
    <t xml:space="preserve">Trong sinh hoạt/giờ chơi, trẻ tránh vật/nơi nguy hiểm khi cô nhắc.</t>
  </si>
  <si>
    <t xml:space="preserve">Luyện ở mức “tránh vật/nơi nguy hiểm khi cô nhắc” thông qua: NBTN nơi nguy hiểm; tập tránh, không ném đồ; chơi đúng cách; cất đồ sau chơi.</t>
  </si>
  <si>
    <t xml:space="preserve">Trẻ chậm / cần hỗ trợ: lùi về mốc liền trước, tăng làm mẫu – cầm tay – lặp lại; thường xuyên nhắc tránh nguy hiểm; phối hợp phụ huynh; luôn giám sát.</t>
  </si>
  <si>
    <t xml:space="preserve">Trong sinh hoạt/giờ chơi, trẻ không cho vật lạ vào miệng khi nhắc.</t>
  </si>
  <si>
    <t xml:space="preserve">Luyện ở mức “không cho vật lạ vào miệng khi nhắc” thông qua: NBTN nơi nguy hiểm; tập tránh, không ném đồ; chơi đúng cách; cất đồ sau chơi.</t>
  </si>
  <si>
    <t xml:space="preserve">Trong sinh hoạt/giờ chơi, trẻ không ném đồ khi được nhắc.</t>
  </si>
  <si>
    <t xml:space="preserve">Luyện ở mức “không ném đồ khi được nhắc” thông qua: NBTN nơi nguy hiểm; tập tránh, không ném đồ; chơi đúng cách; cất đồ sau chơi.</t>
  </si>
  <si>
    <t xml:space="preserve">Trong sinh hoạt/giờ chơi, trẻ hành động an toàn hơn trong sinh hoạt.</t>
  </si>
  <si>
    <t xml:space="preserve">Luyện ở mức “hành động an toàn hơn trong sinh hoạt” thông qua: NBTN nơi nguy hiểm; tập tránh, không ném đồ; chơi đúng cách; cất đồ sau chơi.</t>
  </si>
  <si>
    <t xml:space="preserve">Trong sinh hoạt/giờ chơi, trẻ thực hiện hành động an toàn, bảo vệ bản thân.</t>
  </si>
  <si>
    <t xml:space="preserve">Luyện ở mức “thực hiện hành động an toàn, bảo vệ bản thân” thông qua: NBTN nơi nguy hiểm; tập tránh, không ném đồ; chơi đúng cách; cất đồ sau chơi.</t>
  </si>
  <si>
    <t xml:space="preserve">Trong sinh hoạt/giờ chơi, trẻ bảo vệ bản thân, đồ vật, môi trường hơn.</t>
  </si>
  <si>
    <t xml:space="preserve">Luyện ở mức “bảo vệ bản thân, đồ vật, môi trường hơn” thông qua: NBTN nơi nguy hiểm; tập tránh, không ném đồ; chơi đúng cách; cất đồ sau chơi.</t>
  </si>
  <si>
    <t xml:space="preserve">Trong sinh hoạt/giờ chơi, trẻ hành động an toàn khá tự giác.</t>
  </si>
  <si>
    <t xml:space="preserve">Luyện ở mức “hành động an toàn khá tự giác” thông qua: NBTN nơi nguy hiểm; tập tránh, không ném đồ; chơi đúng cách; cất đồ sau chơi.</t>
  </si>
  <si>
    <t xml:space="preserve">Mốc cuối 33–36 tháng (theo QĐ 388) — trẻ thực hiện hành động an toàn, bảo vệ bản thân, sự vật và môi trường gần gũi xung quanh một cách ổn định, chủ động.</t>
  </si>
  <si>
    <t xml:space="preserve">Luyện ở mức “thực hiện hành động an toàn, bảo vệ bản thân, sự vật và môi trường gần gũi xung quanh” thông qua: NBTN nơi nguy hiểm; tập tránh, không ném đồ; chơi đúng cách; cất đồ sau chơi.</t>
  </si>
  <si>
    <t xml:space="preserve">Nghệ thuật – thẩm mỹ</t>
  </si>
  <si>
    <t xml:space="preserve">Trong sinh hoạt/giờ chơi, trẻ tỏ thích thú (cười, chú ý) trước màu sắc, âm thanh đẹp.</t>
  </si>
  <si>
    <t xml:space="preserve">Luyện ở mức “tỏ thích thú (cười, chú ý) trước màu sắc, âm thanh đẹp” thông qua: Cho trẻ ngắm đồ vật, tranh đẹp; nghe âm thanh dễ chịu; ngắm hoa, lá nhiều màu.</t>
  </si>
  <si>
    <t xml:space="preserve">Trẻ chậm / cần hỗ trợ: lùi về mốc liền trước, tăng làm mẫu – cầm tay – lặp lại; tạo môi trường đẹp, nhiều màu sắc, âm thanh dễ chịu cho trẻ.</t>
  </si>
  <si>
    <t xml:space="preserve">Trong sinh hoạt/giờ chơi, trẻ với tay tới đồ vật, tranh đẹp bắt mắt.</t>
  </si>
  <si>
    <t xml:space="preserve">Luyện ở mức “với tay tới đồ vật, tranh đẹp bắt mắt” thông qua: Cho trẻ ngắm đồ vật, tranh đẹp; nghe âm thanh dễ chịu; ngắm hoa, lá nhiều màu.</t>
  </si>
  <si>
    <t xml:space="preserve">Trong sinh hoạt/giờ chơi, trẻ chú ý lâu hơn trước vẻ đẹp; vỗ tay.</t>
  </si>
  <si>
    <t xml:space="preserve">Luyện ở mức “chú ý lâu hơn trước vẻ đẹp; vỗ tay” thông qua: Cho trẻ ngắm đồ vật, tranh đẹp; nghe âm thanh dễ chịu; ngắm hoa, lá nhiều màu.</t>
  </si>
  <si>
    <t xml:space="preserve">Trong sinh hoạt/giờ chơi, trẻ biểu lộ thích thú rõ (cười, reo) trước vẻ đẹp.</t>
  </si>
  <si>
    <t xml:space="preserve">Luyện ở mức “biểu lộ thích thú rõ (cười, reo) trước vẻ đẹp” thông qua: Cho trẻ ngắm đồ vật, tranh đẹp; nghe âm thanh dễ chịu; ngắm hoa, lá nhiều màu.</t>
  </si>
  <si>
    <t xml:space="preserve">Trong sinh hoạt/giờ chơi, trẻ thể hiện cảm xúc (thích, vui) trước vẻ đẹp.</t>
  </si>
  <si>
    <t xml:space="preserve">Luyện ở mức “thể hiện cảm xúc (thích, vui) trước vẻ đẹp” thông qua: Cho trẻ ngắm đồ vật, tranh đẹp; nghe âm thanh dễ chịu; ngắm hoa, lá nhiều màu.</t>
  </si>
  <si>
    <t xml:space="preserve">Trong sinh hoạt/giờ chơi, trẻ hát theo, vỗ tay, nhún nhảy khi thấy đẹp.</t>
  </si>
  <si>
    <t xml:space="preserve">Luyện ở mức “hát theo, vỗ tay, nhún nhảy khi thấy đẹp” thông qua: Cho trẻ ngắm đồ vật, tranh đẹp; nghe âm thanh dễ chịu; ngắm hoa, lá nhiều màu.</t>
  </si>
  <si>
    <t xml:space="preserve">Trong sinh hoạt/giờ chơi, trẻ thể hiện nhiều cảm xúc trước vẻ đẹp hơn.</t>
  </si>
  <si>
    <t xml:space="preserve">Luyện ở mức “thể hiện nhiều cảm xúc trước vẻ đẹp hơn” thông qua: Cho trẻ ngắm đồ vật, tranh đẹp; nghe âm thanh dễ chịu; ngắm hoa, lá nhiều màu.</t>
  </si>
  <si>
    <t xml:space="preserve">Mốc cuối 33–36 tháng (theo QĐ 388) — trẻ thể hiện cảm xúc (thích thú, vui vẻ, ngạc nhiên, tán thưởng, hát theo, vỗ tay, nhún nhảy, đung đưa, lắc lư...) khi tiếp xúc với vẻ đẹp trong thiên nhiên, cuộc sống và nghệ thuật một cách ổn định, chủ động.</t>
  </si>
  <si>
    <t xml:space="preserve">Luyện ở mức “thể hiện cảm xúc (thích thú, vui vẻ, ngạc nhiên, tán thưởng, hát theo, vỗ tay, nhún nhảy, đung đưa, lắc lư...) khi tiếp xúc với vẻ đẹp trong thiên nhiên, cuộc sống và nghệ thuật” thông qua: Cho trẻ ngắm đồ vật, tranh đẹp; nghe âm thanh dễ chịu; ngắm hoa, lá nhiều màu.</t>
  </si>
  <si>
    <t xml:space="preserve">Trong sinh hoạt/giờ chơi, trẻ hóng nghe nhạc/bài hát ngắn.</t>
  </si>
  <si>
    <t xml:space="preserve">Luyện ở mức “hóng nghe nhạc/bài hát ngắn” thông qua: Mở nhạc nhẹ; cho trẻ nghe bài hát ngắn; góc âm nhạc; nghe âm thanh tự nhiên.</t>
  </si>
  <si>
    <t xml:space="preserve">Trẻ chậm / cần hỗ trợ: lùi về mốc liền trước, tăng làm mẫu – cầm tay – lặp lại; cho trẻ nghe nhạc thường xuyên; chọn bài ngắn, vui, êm dịu.</t>
  </si>
  <si>
    <t xml:space="preserve">Trong sinh hoạt/giờ chơi, trẻ dừng lại lắng nghe khi có nhạc.</t>
  </si>
  <si>
    <t xml:space="preserve">Luyện ở mức “dừng lại lắng nghe khi có nhạc” thông qua: Mở nhạc nhẹ; cho trẻ nghe bài hát ngắn; góc âm nhạc; nghe âm thanh tự nhiên.</t>
  </si>
  <si>
    <t xml:space="preserve">Trong sinh hoạt/giờ chơi, trẻ đung đưa khi nghe nhạc.</t>
  </si>
  <si>
    <t xml:space="preserve">Luyện ở mức “đung đưa khi nghe nhạc” thông qua: Mở nhạc nhẹ; cho trẻ nghe bài hát ngắn; góc âm nhạc; nghe âm thanh tự nhiên.</t>
  </si>
  <si>
    <t xml:space="preserve">Trong sinh hoạt/giờ chơi, trẻ thể hiện cảm nhận (vỗ tay, cười) với bài hát.</t>
  </si>
  <si>
    <t xml:space="preserve">Luyện ở mức “thể hiện cảm nhận (vỗ tay, cười) với bài hát” thông qua: Mở nhạc nhẹ; cho trẻ nghe bài hát ngắn; góc âm nhạc; nghe âm thanh tự nhiên.</t>
  </si>
  <si>
    <t xml:space="preserve">Trong sinh hoạt/giờ chơi, trẻ lắng nghe, thể hiện cảm nhận với bài hát.</t>
  </si>
  <si>
    <t xml:space="preserve">Luyện ở mức “lắng nghe, thể hiện cảm nhận với bài hát” thông qua: Mở nhạc nhẹ; cho trẻ nghe bài hát ngắn; góc âm nhạc; nghe âm thanh tự nhiên.</t>
  </si>
  <si>
    <t xml:space="preserve">Trong sinh hoạt/giờ chơi, trẻ phản ứng cảm xúc rõ hơn với bài hát.</t>
  </si>
  <si>
    <t xml:space="preserve">Luyện ở mức “phản ứng cảm xúc rõ hơn với bài hát” thông qua: Mở nhạc nhẹ; cho trẻ nghe bài hát ngắn; góc âm nhạc; nghe âm thanh tự nhiên.</t>
  </si>
  <si>
    <t xml:space="preserve">Trong sinh hoạt/giờ chơi, trẻ lắng nghe, cảm nhận bài hát khá rõ.</t>
  </si>
  <si>
    <t xml:space="preserve">Luyện ở mức “lắng nghe, cảm nhận bài hát khá rõ” thông qua: Mở nhạc nhẹ; cho trẻ nghe bài hát ngắn; góc âm nhạc; nghe âm thanh tự nhiên.</t>
  </si>
  <si>
    <t xml:space="preserve">Mốc cuối 33–36 tháng (theo QĐ 388) — trẻ lắng nghe và thể hiện được cảm nhận của bản thân với bài hát, bản nhạc một cách ổn định, chủ động.</t>
  </si>
  <si>
    <t xml:space="preserve">Luyện ở mức “lắng nghe và thể hiện được cảm nhận của bản thân với bài hát, bản nhạc” thông qua: Mở nhạc nhẹ; cho trẻ nghe bài hát ngắn; góc âm nhạc; nghe âm thanh tự nhiên.</t>
  </si>
  <si>
    <t xml:space="preserve">Trong sinh hoạt/giờ chơi, trẻ bập bẹ, ê a khi nghe hát.</t>
  </si>
  <si>
    <t xml:space="preserve">Luyện ở mức “bập bẹ, ê a khi nghe hát” thông qua: Dạy hát bài rất ngắn; trẻ bập bẹ, ê a theo; góc âm nhạc.</t>
  </si>
  <si>
    <t xml:space="preserve">Trẻ chậm / cần hỗ trợ: lùi về mốc liền trước, tăng làm mẫu – cầm tay – lặp lại; hát đi hát lại bài ngắn; khích lệ trẻ phát tiếng theo giai điệu.</t>
  </si>
  <si>
    <t xml:space="preserve">Trong sinh hoạt/giờ chơi, trẻ phát vài tiếng theo giai điệu cùng cô.</t>
  </si>
  <si>
    <t xml:space="preserve">Luyện ở mức “phát vài tiếng theo giai điệu cùng cô” thông qua: Dạy hát bài rất ngắn; trẻ bập bẹ, ê a theo; góc âm nhạc.</t>
  </si>
  <si>
    <t xml:space="preserve">Trong sinh hoạt/giờ chơi, trẻ hát ê a theo bài hát ngắn quen thuộc.</t>
  </si>
  <si>
    <t xml:space="preserve">Luyện ở mức “hát ê a theo bài hát ngắn quen thuộc” thông qua: Dạy hát bài rất ngắn; trẻ bập bẹ, ê a theo; góc âm nhạc.</t>
  </si>
  <si>
    <t xml:space="preserve">Trong sinh hoạt/giờ chơi, trẻ hát theo vài tiếng cuối câu.</t>
  </si>
  <si>
    <t xml:space="preserve">Luyện ở mức “hát theo vài tiếng cuối câu” thông qua: Dạy hát bài rất ngắn; trẻ bập bẹ, ê a theo; góc âm nhạc.</t>
  </si>
  <si>
    <t xml:space="preserve">Trong sinh hoạt/giờ chơi, trẻ hát theo giai điệu/bài hát ngắn.</t>
  </si>
  <si>
    <t xml:space="preserve">Luyện ở mức “hát theo giai điệu/bài hát ngắn” thông qua: Dạy hát bài rất ngắn; trẻ bập bẹ, ê a theo; góc âm nhạc.</t>
  </si>
  <si>
    <t xml:space="preserve">Trong sinh hoạt/giờ chơi, trẻ hát theo bài hát ngắn rõ hơn.</t>
  </si>
  <si>
    <t xml:space="preserve">Luyện ở mức “hát theo bài hát ngắn rõ hơn” thông qua: Dạy hát bài rất ngắn; trẻ bập bẹ, ê a theo; góc âm nhạc.</t>
  </si>
  <si>
    <t xml:space="preserve">Trong sinh hoạt/giờ chơi, trẻ hát theo bài hát ngắn khá rõ lời.</t>
  </si>
  <si>
    <t xml:space="preserve">Luyện ở mức “hát theo bài hát ngắn khá rõ lời” thông qua: Dạy hát bài rất ngắn; trẻ bập bẹ, ê a theo; góc âm nhạc.</t>
  </si>
  <si>
    <t xml:space="preserve">Mốc cuối 33–36 tháng (theo QĐ 388) — trẻ hát theo giai điệu/bài hát ngắn, phù hợp lứa tuổi một cách ổn định, chủ động.</t>
  </si>
  <si>
    <t xml:space="preserve">Luyện ở mức “hát theo giai điệu/bài hát ngắn, phù hợp lứa tuổi” thông qua: Dạy hát bài rất ngắn; trẻ bập bẹ, ê a theo; góc âm nhạc.</t>
  </si>
  <si>
    <t xml:space="preserve">Trong sinh hoạt/giờ chơi, trẻ vỗ tay theo nhạc khi cô làm mẫu.</t>
  </si>
  <si>
    <t xml:space="preserve">Luyện ở mức “vỗ tay theo nhạc khi cô làm mẫu” thông qua: Vỗ tay, nhún, vẫy tay theo nhạc cùng cô; góc âm nhạc; vận động ngoài trời.</t>
  </si>
  <si>
    <t xml:space="preserve">Trẻ chậm / cần hỗ trợ: lùi về mốc liền trước, tăng làm mẫu – cầm tay – lặp lại; cô làm mẫu rõ ràng; khích lệ mọi trẻ vận động theo khả năng.</t>
  </si>
  <si>
    <t xml:space="preserve">Trong sinh hoạt/giờ chơi, trẻ nhún, lắc lư theo nhạc.</t>
  </si>
  <si>
    <t xml:space="preserve">Luyện ở mức “nhún, lắc lư theo nhạc” thông qua: Vỗ tay, nhún, vẫy tay theo nhạc cùng cô; góc âm nhạc; vận động ngoài trời.</t>
  </si>
  <si>
    <t xml:space="preserve">Trong sinh hoạt/giờ chơi, trẻ vẫy tay, nhún theo nhạc cùng cô.</t>
  </si>
  <si>
    <t xml:space="preserve">Luyện ở mức “vẫy tay, nhún theo nhạc cùng cô” thông qua: Vỗ tay, nhún, vẫy tay theo nhạc cùng cô; góc âm nhạc; vận động ngoài trời.</t>
  </si>
  <si>
    <t xml:space="preserve">Trong sinh hoạt/giờ chơi, trẻ vận động vài động tác theo nhạc.</t>
  </si>
  <si>
    <t xml:space="preserve">Luyện ở mức “vận động vài động tác theo nhạc” thông qua: Vỗ tay, nhún, vẫy tay theo nhạc cùng cô; góc âm nhạc; vận động ngoài trời.</t>
  </si>
  <si>
    <t xml:space="preserve">Trong sinh hoạt/giờ chơi, trẻ vận động đơn giản theo nhạc.</t>
  </si>
  <si>
    <t xml:space="preserve">Luyện ở mức “vận động đơn giản theo nhạc” thông qua: Vỗ tay, nhún, vẫy tay theo nhạc cùng cô; góc âm nhạc; vận động ngoài trời.</t>
  </si>
  <si>
    <t xml:space="preserve">Trong sinh hoạt/giờ chơi, trẻ vận động lặp lại theo bài hát.</t>
  </si>
  <si>
    <t xml:space="preserve">Luyện ở mức “vận động lặp lại theo bài hát” thông qua: Vỗ tay, nhún, vẫy tay theo nhạc cùng cô; góc âm nhạc; vận động ngoài trời.</t>
  </si>
  <si>
    <t xml:space="preserve">Trong sinh hoạt/giờ chơi, trẻ vận động theo nhạc khá nhịp nhàng.</t>
  </si>
  <si>
    <t xml:space="preserve">Luyện ở mức “vận động theo nhạc khá nhịp nhàng” thông qua: Vỗ tay, nhún, vẫy tay theo nhạc cùng cô; góc âm nhạc; vận động ngoài trời.</t>
  </si>
  <si>
    <t xml:space="preserve">Mốc cuối 33–36 tháng (theo QĐ 388) — trẻ vận động đơn giản, lặp đi lặp lại theo bài hát, bản nhạc (vỗ tay, giậm chân, vẫy tay, nhún nhảy...) một cách ổn định, chủ động.</t>
  </si>
  <si>
    <t xml:space="preserve">Luyện ở mức “vận động đơn giản, lặp đi lặp lại theo bài hát, bản nhạc (vỗ tay, giậm chân, vẫy tay, nhún nhảy...)” thông qua: Vỗ tay, nhún, vẫy tay theo nhạc cùng cô; góc âm nhạc; vận động ngoài trời.</t>
  </si>
  <si>
    <t xml:space="preserve">Trong sinh hoạt/giờ chơi, trẻ cầm, lắc xắc xô tạo âm thanh.</t>
  </si>
  <si>
    <t xml:space="preserve">Luyện ở mức “cầm, lắc xắc xô tạo âm thanh” thông qua: Lắc, gõ xắc xô, trống nhỏ tạo âm thanh; góc âm nhạc.</t>
  </si>
  <si>
    <t xml:space="preserve">Trẻ chậm / cần hỗ trợ: lùi về mốc liền trước, tăng làm mẫu – cầm tay – lặp lại; chuẩn bị nhạc cụ an toàn, dễ cầm; khích lệ trẻ tạo âm thanh.</t>
  </si>
  <si>
    <t xml:space="preserve">Trong sinh hoạt/giờ chơi, trẻ gõ trống nhỏ tạo âm thanh.</t>
  </si>
  <si>
    <t xml:space="preserve">Luyện ở mức “gõ trống nhỏ tạo âm thanh” thông qua: Lắc, gõ xắc xô, trống nhỏ tạo âm thanh; góc âm nhạc.</t>
  </si>
  <si>
    <t xml:space="preserve">Trong sinh hoạt/giờ chơi, trẻ lắc, gõ nhạc cụ theo cô.</t>
  </si>
  <si>
    <t xml:space="preserve">Luyện ở mức “lắc, gõ nhạc cụ theo cô” thông qua: Lắc, gõ xắc xô, trống nhỏ tạo âm thanh; góc âm nhạc.</t>
  </si>
  <si>
    <t xml:space="preserve">Trong sinh hoạt/giờ chơi, trẻ tạo âm thanh bằng vài dụng cụ.</t>
  </si>
  <si>
    <t xml:space="preserve">Luyện ở mức “tạo âm thanh bằng vài dụng cụ” thông qua: Lắc, gõ xắc xô, trống nhỏ tạo âm thanh; góc âm nhạc.</t>
  </si>
  <si>
    <t xml:space="preserve">Trong sinh hoạt/giờ chơi, trẻ tạo âm thanh bằng dụng cụ âm nhạc.</t>
  </si>
  <si>
    <t xml:space="preserve">Luyện ở mức “tạo âm thanh bằng dụng cụ âm nhạc” thông qua: Lắc, gõ xắc xô, trống nhỏ tạo âm thanh; góc âm nhạc.</t>
  </si>
  <si>
    <t xml:space="preserve">Trong sinh hoạt/giờ chơi, trẻ tạo âm thanh theo nhịp đơn giản.</t>
  </si>
  <si>
    <t xml:space="preserve">Luyện ở mức “tạo âm thanh theo nhịp đơn giản” thông qua: Lắc, gõ xắc xô, trống nhỏ tạo âm thanh; góc âm nhạc.</t>
  </si>
  <si>
    <t xml:space="preserve">Trong sinh hoạt/giờ chơi, trẻ chơi nhạc cụ tạo âm thanh khá nhịp nhàng.</t>
  </si>
  <si>
    <t xml:space="preserve">Luyện ở mức “chơi nhạc cụ tạo âm thanh khá nhịp nhàng” thông qua: Lắc, gõ xắc xô, trống nhỏ tạo âm thanh; góc âm nhạc.</t>
  </si>
  <si>
    <t xml:space="preserve">Mốc cuối 33–36 tháng (theo QĐ 388) — trẻ tạo ra âm thanh bằng cách chơi với các đồ dùng, dụng cụ âm nhạc một cách ổn định, chủ động.</t>
  </si>
  <si>
    <t xml:space="preserve">Luyện ở mức “tạo ra âm thanh bằng cách chơi với các đồ dùng, dụng cụ âm nhạc” thông qua: Lắc, gõ xắc xô, trống nhỏ tạo âm thanh; góc âm nhạc.</t>
  </si>
  <si>
    <t xml:space="preserve">Trong sinh hoạt/giờ chơi, trẻ thích thú vỗ tay trong hoạt động âm nhạc.</t>
  </si>
  <si>
    <t xml:space="preserve">Luyện ở mức “thích thú vỗ tay trong hoạt động âm nhạc” thông qua: Hát, vận động cùng cô và bạn; văn nghệ cuối ngày; giao lưu âm nhạc nhóm nhỏ.</t>
  </si>
  <si>
    <t xml:space="preserve">Trẻ chậm / cần hỗ trợ: lùi về mốc liền trước, tăng làm mẫu – cầm tay – lặp lại; khích lệ mọi trẻ tham gia; động viên trẻ nhút nhát.</t>
  </si>
  <si>
    <t xml:space="preserve">Trong sinh hoạt/giờ chơi, trẻ làm theo cô trong hoạt động âm nhạc.</t>
  </si>
  <si>
    <t xml:space="preserve">Luyện ở mức “làm theo cô trong hoạt động âm nhạc” thông qua: Hát, vận động cùng cô và bạn; văn nghệ cuối ngày; giao lưu âm nhạc nhóm nhỏ.</t>
  </si>
  <si>
    <t xml:space="preserve">Trong sinh hoạt/giờ chơi, trẻ tham gia hát, vận động tập thể với cô.</t>
  </si>
  <si>
    <t xml:space="preserve">Luyện ở mức “tham gia hát, vận động tập thể với cô” thông qua: Hát, vận động cùng cô và bạn; văn nghệ cuối ngày; giao lưu âm nhạc nhóm nhỏ.</t>
  </si>
  <si>
    <t xml:space="preserve">Trong sinh hoạt/giờ chơi, trẻ hứng thú tham gia biểu diễn cùng cô.</t>
  </si>
  <si>
    <t xml:space="preserve">Luyện ở mức “hứng thú tham gia biểu diễn cùng cô” thông qua: Hát, vận động cùng cô và bạn; văn nghệ cuối ngày; giao lưu âm nhạc nhóm nhỏ.</t>
  </si>
  <si>
    <t xml:space="preserve">Trong sinh hoạt/giờ chơi, trẻ hứng thú biểu diễn âm nhạc với người lớn.</t>
  </si>
  <si>
    <t xml:space="preserve">Luyện ở mức “hứng thú biểu diễn âm nhạc với người lớn” thông qua: Hát, vận động cùng cô và bạn; văn nghệ cuối ngày; giao lưu âm nhạc nhóm nhỏ.</t>
  </si>
  <si>
    <t xml:space="preserve">Trong sinh hoạt/giờ chơi, trẻ mạnh dạn tham gia biểu diễn hơn.</t>
  </si>
  <si>
    <t xml:space="preserve">Luyện ở mức “mạnh dạn tham gia biểu diễn hơn” thông qua: Hát, vận động cùng cô và bạn; văn nghệ cuối ngày; giao lưu âm nhạc nhóm nhỏ.</t>
  </si>
  <si>
    <t xml:space="preserve">Trong sinh hoạt/giờ chơi, trẻ hứng thú, tự tin biểu diễn cùng người lớn.</t>
  </si>
  <si>
    <t xml:space="preserve">Luyện ở mức “hứng thú, tự tin biểu diễn cùng người lớn” thông qua: Hát, vận động cùng cô và bạn; văn nghệ cuối ngày; giao lưu âm nhạc nhóm nhỏ.</t>
  </si>
  <si>
    <t xml:space="preserve">Mốc cuối 33–36 tháng (theo QĐ 388) — trẻ thể hiện sự hứng thú khi tham gia biểu diễn âm nhạc với người lớn một cách ổn định, chủ động.</t>
  </si>
  <si>
    <t xml:space="preserve">Luyện ở mức “thể hiện sự hứng thú khi tham gia biểu diễn âm nhạc với người lớn” thông qua: Hát, vận động cùng cô và bạn; văn nghệ cuối ngày; giao lưu âm nhạc nhóm nhỏ.</t>
  </si>
  <si>
    <t xml:space="preserve">Trong sinh hoạt/giờ chơi, trẻ cầm, chạm giấy, đất nặn, sáp màu.</t>
  </si>
  <si>
    <t xml:space="preserve">Luyện ở mức “cầm, chạm giấy, đất nặn, sáp màu” thông qua: Cầm, bóp, vò giấy, đất nặn mềm; chạm sáp màu; góc tạo hình; vật liệu thiên nhiên.</t>
  </si>
  <si>
    <t xml:space="preserve">Trẻ chậm / cần hỗ trợ: lùi về mốc liền trước, tăng làm mẫu – cầm tay – lặp lại; chuẩn bị vật liệu mềm, an toàn; cho trẻ làm quen đa dạng.</t>
  </si>
  <si>
    <t xml:space="preserve">Trong sinh hoạt/giờ chơi, trẻ bóp, vò giấy, đất nặn mềm.</t>
  </si>
  <si>
    <t xml:space="preserve">Luyện ở mức “bóp, vò giấy, đất nặn mềm” thông qua: Cầm, bóp, vò giấy, đất nặn mềm; chạm sáp màu; góc tạo hình; vật liệu thiên nhiên.</t>
  </si>
  <si>
    <t xml:space="preserve">Trong sinh hoạt/giờ chơi, trẻ làm quen nhiều vật liệu tạo hình hơn.</t>
  </si>
  <si>
    <t xml:space="preserve">Luyện ở mức “làm quen nhiều vật liệu tạo hình hơn” thông qua: Cầm, bóp, vò giấy, đất nặn mềm; chạm sáp màu; góc tạo hình; vật liệu thiên nhiên.</t>
  </si>
  <si>
    <t xml:space="preserve">Trong sinh hoạt/giờ chơi, trẻ dùng vài vật liệu tạo hình đơn giản.</t>
  </si>
  <si>
    <t xml:space="preserve">Luyện ở mức “dùng vài vật liệu tạo hình đơn giản” thông qua: Cầm, bóp, vò giấy, đất nặn mềm; chạm sáp màu; góc tạo hình; vật liệu thiên nhiên.</t>
  </si>
  <si>
    <t xml:space="preserve">Trong sinh hoạt/giờ chơi, trẻ làm quen, dùng nguyên vật liệu tạo hình.</t>
  </si>
  <si>
    <t xml:space="preserve">Luyện ở mức “làm quen, dùng nguyên vật liệu tạo hình” thông qua: Cầm, bóp, vò giấy, đất nặn mềm; chạm sáp màu; góc tạo hình; vật liệu thiên nhiên.</t>
  </si>
  <si>
    <t xml:space="preserve">Trong sinh hoạt/giờ chơi, trẻ sử dụng vài phương tiện tạo hình đơn giản.</t>
  </si>
  <si>
    <t xml:space="preserve">Luyện ở mức “sử dụng vài phương tiện tạo hình đơn giản” thông qua: Cầm, bóp, vò giấy, đất nặn mềm; chạm sáp màu; góc tạo hình; vật liệu thiên nhiên.</t>
  </si>
  <si>
    <t xml:space="preserve">Trong sinh hoạt/giờ chơi, trẻ dùng nguyên vật liệu tạo hình khá thành thạo.</t>
  </si>
  <si>
    <t xml:space="preserve">Luyện ở mức “dùng nguyên vật liệu tạo hình khá thành thạo” thông qua: Cầm, bóp, vò giấy, đất nặn mềm; chạm sáp màu; góc tạo hình; vật liệu thiên nhiên.</t>
  </si>
  <si>
    <t xml:space="preserve">Mốc cuối 33–36 tháng (theo QĐ 388) — trẻ làm quen và sử dụng một số phương tiện, nguyên vật liệu tạo hình đơn giản một cách ổn định, chủ động.</t>
  </si>
  <si>
    <t xml:space="preserve">Luyện ở mức “làm quen và sử dụng một số phương tiện, nguyên vật liệu tạo hình đơn giản” thông qua: Cầm, bóp, vò giấy, đất nặn mềm; chạm sáp màu; góc tạo hình; vật liệu thiên nhiên.</t>
  </si>
  <si>
    <t xml:space="preserve">Trong sinh hoạt/giờ chơi, trẻ di màu cả bàn tay.</t>
  </si>
  <si>
    <t xml:space="preserve">Luyện ở mức “di màu cả bàn tay” thông qua: Di màu cả bàn tay; chấm màu; bóp, véo đất nặn; in dấu tay; vẽ phấn trên sân.</t>
  </si>
  <si>
    <t xml:space="preserve">Trẻ chậm / cần hỗ trợ: lùi về mốc liền trước, tăng làm mẫu – cầm tay – lặp lại; cho trẻ thao tác tự do; không yêu cầu giống mẫu.</t>
  </si>
  <si>
    <t xml:space="preserve">Trong sinh hoạt/giờ chơi, trẻ chấm màu tạo vết.</t>
  </si>
  <si>
    <t xml:space="preserve">Luyện ở mức “chấm màu tạo vết” thông qua: Di màu cả bàn tay; chấm màu; bóp, véo đất nặn; in dấu tay; vẽ phấn trên sân.</t>
  </si>
  <si>
    <t xml:space="preserve">Trong sinh hoạt/giờ chơi, trẻ bóp, véo đất nặn theo cô.</t>
  </si>
  <si>
    <t xml:space="preserve">Luyện ở mức “bóp, véo đất nặn theo cô” thông qua: Di màu cả bàn tay; chấm màu; bóp, véo đất nặn; in dấu tay; vẽ phấn trên sân.</t>
  </si>
  <si>
    <t xml:space="preserve">Trong sinh hoạt/giờ chơi, trẻ di màu, in dấu tay tạo sản phẩm.</t>
  </si>
  <si>
    <t xml:space="preserve">Luyện ở mức “di màu, in dấu tay tạo sản phẩm” thông qua: Di màu cả bàn tay; chấm màu; bóp, véo đất nặn; in dấu tay; vẽ phấn trên sân.</t>
  </si>
  <si>
    <t xml:space="preserve">Trong sinh hoạt/giờ chơi, trẻ thao tác tạo hình cơ bản (di màu, nặn, xé).</t>
  </si>
  <si>
    <t xml:space="preserve">Luyện ở mức “thao tác tạo hình cơ bản (di màu, nặn, xé)” thông qua: Di màu cả bàn tay; chấm màu; bóp, véo đất nặn; in dấu tay; vẽ phấn trên sân.</t>
  </si>
  <si>
    <t xml:space="preserve">Trong sinh hoạt/giờ chơi, trẻ vò, in, xé dán đơn giản.</t>
  </si>
  <si>
    <t xml:space="preserve">Luyện ở mức “vò, in, xé dán đơn giản” thông qua: Di màu cả bàn tay; chấm màu; bóp, véo đất nặn; in dấu tay; vẽ phấn trên sân.</t>
  </si>
  <si>
    <t xml:space="preserve">Trong sinh hoạt/giờ chơi, trẻ thực hiện nhiều thao tác tạo hình hơn.</t>
  </si>
  <si>
    <t xml:space="preserve">Luyện ở mức “thực hiện nhiều thao tác tạo hình hơn” thông qua: Di màu cả bàn tay; chấm màu; bóp, véo đất nặn; in dấu tay; vẽ phấn trên sân.</t>
  </si>
  <si>
    <t xml:space="preserve">Mốc cuối 33–36 tháng (theo QĐ 388) — trẻ thực hiện một số thao tác tạo hình cơ bản (di màu, vẽ nguệch ngoạc, vò, nặn, in, xé, dán, lắp ghép) để tạo ra sản phẩm đơn giản và thích thú với quá trình đó một cách ổn định, chủ động.</t>
  </si>
  <si>
    <t xml:space="preserve">Luyện ở mức “thực hiện một số thao tác tạo hình cơ bản (di màu, vẽ nguệch ngoạc, vò, nặn, in, xé, dán, lắp ghép) để tạo ra sản phẩm đơn giản và thích thú với quá trình đó” thông qua: Di màu cả bàn tay; chấm màu; bóp, véo đất nặn; in dấu tay; vẽ phấn trên sân.</t>
  </si>
  <si>
    <t xml:space="preserve">Trong sinh hoạt/giờ chơi, trẻ nhìn vết màu mình vừa tạo.</t>
  </si>
  <si>
    <t xml:space="preserve">Luyện ở mức “nhìn vết màu mình vừa tạo” thông qua: Cho trẻ xem vệt màu, sản phẩm của mình; trưng bày sản phẩm ở góc.</t>
  </si>
  <si>
    <t xml:space="preserve">Trẻ chậm / cần hỗ trợ: lùi về mốc liền trước, tăng làm mẫu – cầm tay – lặp lại; ghi nhận, khen sản phẩm của trẻ; tạo niềm vui khi tạo hình.</t>
  </si>
  <si>
    <t xml:space="preserve">Trong sinh hoạt/giờ chơi, trẻ chỉ, phát tiếng về sản phẩm của mình.</t>
  </si>
  <si>
    <t xml:space="preserve">Luyện ở mức “chỉ, phát tiếng về sản phẩm của mình” thông qua: Cho trẻ xem vệt màu, sản phẩm của mình; trưng bày sản phẩm ở góc.</t>
  </si>
  <si>
    <t xml:space="preserve">Trong sinh hoạt/giờ chơi, trẻ cười, chỉ sản phẩm mình tạo ra.</t>
  </si>
  <si>
    <t xml:space="preserve">Luyện ở mức “cười, chỉ sản phẩm mình tạo ra” thông qua: Cho trẻ xem vệt màu, sản phẩm của mình; trưng bày sản phẩm ở góc.</t>
  </si>
  <si>
    <t xml:space="preserve">Trong sinh hoạt/giờ chơi, trẻ nói (theo cách trẻ) về sản phẩm của mình.</t>
  </si>
  <si>
    <t xml:space="preserve">Luyện ở mức “nói (theo cách trẻ) về sản phẩm của mình” thông qua: Cho trẻ xem vệt màu, sản phẩm của mình; trưng bày sản phẩm ở góc.</t>
  </si>
  <si>
    <t xml:space="preserve">Trong sinh hoạt/giờ chơi, trẻ nói về sản phẩm tạo hình của bản thân.</t>
  </si>
  <si>
    <t xml:space="preserve">Luyện ở mức “nói về sản phẩm tạo hình của bản thân” thông qua: Cho trẻ xem vệt màu, sản phẩm của mình; trưng bày sản phẩm ở góc.</t>
  </si>
  <si>
    <t xml:space="preserve">Trong sinh hoạt/giờ chơi, trẻ nói vài điều về sản phẩm của mình.</t>
  </si>
  <si>
    <t xml:space="preserve">Luyện ở mức “nói vài điều về sản phẩm của mình” thông qua: Cho trẻ xem vệt màu, sản phẩm của mình; trưng bày sản phẩm ở góc.</t>
  </si>
  <si>
    <t xml:space="preserve">Trong sinh hoạt/giờ chơi, trẻ nói về sản phẩm theo cảm nhận rõ hơn.</t>
  </si>
  <si>
    <t xml:space="preserve">Luyện ở mức “nói về sản phẩm theo cảm nhận rõ hơn” thông qua: Cho trẻ xem vệt màu, sản phẩm của mình; trưng bày sản phẩm ở góc.</t>
  </si>
  <si>
    <t xml:space="preserve">Mốc cuối 33–36 tháng (theo QĐ 388) — trẻ nói về sản phẩm tạo hình do trẻ tạo ra theo cảm nhận của bản thân một cách ổn định, chủ động.</t>
  </si>
  <si>
    <t xml:space="preserve">Luyện ở mức “nói về sản phẩm tạo hình do trẻ tạo ra theo cảm nhận của bản thân” thông qua: Cho trẻ xem vệt màu, sản phẩm của mình; trưng bày sản phẩm ở góc.</t>
  </si>
  <si>
    <t xml:space="preserve">Trong sinh hoạt/giờ chơi, trẻ bắt chước bế búp bê theo cô.</t>
  </si>
  <si>
    <t xml:space="preserve">Luyện ở mức “bắt chước bế búp bê theo cô” thông qua: Chơi thao tác vai: bế, ru, đút búp bê ăn; góc gia đình; chăm sóc búp bê cùng cô.</t>
  </si>
  <si>
    <t xml:space="preserve">Trẻ chậm / cần hỗ trợ: lùi về mốc liền trước, tăng làm mẫu – cầm tay – lặp lại; cô làm mẫu rõ ràng; khích lệ trẻ bắt chước hành động chăm sóc.</t>
  </si>
  <si>
    <t xml:space="preserve">Trong sinh hoạt/giờ chơi, trẻ bắt chước ru, đút búp bê ăn.</t>
  </si>
  <si>
    <t xml:space="preserve">Luyện ở mức “bắt chước ru, đút búp bê ăn” thông qua: Chơi thao tác vai: bế, ru, đút búp bê ăn; góc gia đình; chăm sóc búp bê cùng cô.</t>
  </si>
  <si>
    <t xml:space="preserve">Trong sinh hoạt/giờ chơi, trẻ chơi thao tác chăm sóc búp bê cùng cô.</t>
  </si>
  <si>
    <t xml:space="preserve">Luyện ở mức “chơi thao tác chăm sóc búp bê cùng cô” thông qua: Chơi thao tác vai: bế, ru, đút búp bê ăn; góc gia đình; chăm sóc búp bê cùng cô.</t>
  </si>
  <si>
    <t xml:space="preserve">Trong sinh hoạt/giờ chơi, trẻ thể hiện vài hành động chăm sóc (đóng vai).</t>
  </si>
  <si>
    <t xml:space="preserve">Luyện ở mức “thể hiện vài hành động chăm sóc (đóng vai)” thông qua: Chơi thao tác vai: bế, ru, đút búp bê ăn; góc gia đình; chăm sóc búp bê cùng cô.</t>
  </si>
  <si>
    <t xml:space="preserve">Trong sinh hoạt/giờ chơi, trẻ thể hiện hình ảnh người thân qua đóng vai đơn giản.</t>
  </si>
  <si>
    <t xml:space="preserve">Luyện ở mức “thể hiện hình ảnh người thân qua đóng vai đơn giản” thông qua: Chơi thao tác vai: bế, ru, đút búp bê ăn; góc gia đình; chăm sóc búp bê cùng cô.</t>
  </si>
  <si>
    <t xml:space="preserve">Trong sinh hoạt/giờ chơi, trẻ đóng vai chăm sóc búp bê chủ động hơn.</t>
  </si>
  <si>
    <t xml:space="preserve">Luyện ở mức “đóng vai chăm sóc búp bê chủ động hơn” thông qua: Chơi thao tác vai: bế, ru, đút búp bê ăn; góc gia đình; chăm sóc búp bê cùng cô.</t>
  </si>
  <si>
    <t xml:space="preserve">Trong sinh hoạt/giờ chơi, trẻ thể hiện vai người thân khá rõ.</t>
  </si>
  <si>
    <t xml:space="preserve">Luyện ở mức “thể hiện vai người thân khá rõ” thông qua: Chơi thao tác vai: bế, ru, đút búp bê ăn; góc gia đình; chăm sóc búp bê cùng cô.</t>
  </si>
  <si>
    <t xml:space="preserve">Mốc cuối 33–36 tháng (theo QĐ 388) — trẻ thể hiện hình ảnh người thân (đóng vai) một cách ổn định, chủ động.</t>
  </si>
  <si>
    <t xml:space="preserve">Luyện ở mức “thể hiện hình ảnh người thân (đóng vai)” thông qua: Chơi thao tác vai: bế, ru, đút búp bê ăn; góc gia đình; chăm sóc búp bê cùng cô.</t>
  </si>
  <si>
    <t xml:space="preserve">Trong sinh hoạt/giờ chơi, trẻ bắt chước 1 tiếng kêu con vật theo cô.</t>
  </si>
  <si>
    <t xml:space="preserve">Luyện ở mức “bắt chước 1 tiếng kêu con vật theo cô” thông qua: Bắt chước tiếng gà, mèo, vịt; chơi rối đơn giản; mô phỏng nhân vật khi cô kể.</t>
  </si>
  <si>
    <t xml:space="preserve">Trẻ chậm / cần hỗ trợ: lùi về mốc liền trước, tăng làm mẫu – cầm tay – lặp lại; dùng nhân vật quen thuộc; cô làm mẫu; khích lệ trẻ bắt chước.</t>
  </si>
  <si>
    <t xml:space="preserve">Trong sinh hoạt/giờ chơi, trẻ bắt chước 1 cử chỉ nhân vật quen thuộc.</t>
  </si>
  <si>
    <t xml:space="preserve">Luyện ở mức “bắt chước 1 cử chỉ nhân vật quen thuộc” thông qua: Bắt chước tiếng gà, mèo, vịt; chơi rối đơn giản; mô phỏng nhân vật khi cô kể.</t>
  </si>
  <si>
    <t xml:space="preserve">Trong sinh hoạt/giờ chơi, trẻ mô phỏng tiếng kêu, cử chỉ nhân vật.</t>
  </si>
  <si>
    <t xml:space="preserve">Luyện ở mức “mô phỏng tiếng kêu, cử chỉ nhân vật” thông qua: Bắt chước tiếng gà, mèo, vịt; chơi rối đơn giản; mô phỏng nhân vật khi cô kể.</t>
  </si>
  <si>
    <t xml:space="preserve">Trong sinh hoạt/giờ chơi, trẻ thể hiện vài cử chỉ/tiếng nhân vật theo cô.</t>
  </si>
  <si>
    <t xml:space="preserve">Luyện ở mức “thể hiện vài cử chỉ/tiếng nhân vật theo cô” thông qua: Bắt chước tiếng gà, mèo, vịt; chơi rối đơn giản; mô phỏng nhân vật khi cô kể.</t>
  </si>
  <si>
    <t xml:space="preserve">Trong sinh hoạt/giờ chơi, trẻ thể hiện lại cử chỉ/tiếng nhân vật quen thuộc.</t>
  </si>
  <si>
    <t xml:space="preserve">Luyện ở mức “thể hiện lại cử chỉ/tiếng nhân vật quen thuộc” thông qua: Bắt chước tiếng gà, mèo, vịt; chơi rối đơn giản; mô phỏng nhân vật khi cô kể.</t>
  </si>
  <si>
    <t xml:space="preserve">Trong sinh hoạt/giờ chơi, trẻ mô phỏng nhân vật trong tình huống chơi.</t>
  </si>
  <si>
    <t xml:space="preserve">Luyện ở mức “mô phỏng nhân vật trong tình huống chơi” thông qua: Bắt chước tiếng gà, mèo, vịt; chơi rối đơn giản; mô phỏng nhân vật khi cô kể.</t>
  </si>
  <si>
    <t xml:space="preserve">Trong sinh hoạt/giờ chơi, trẻ thể hiện cử chỉ, lời nói nhân vật rõ hơn.</t>
  </si>
  <si>
    <t xml:space="preserve">Luyện ở mức “thể hiện cử chỉ, lời nói nhân vật rõ hơn” thông qua: Bắt chước tiếng gà, mèo, vịt; chơi rối đơn giản; mô phỏng nhân vật khi cô kể.</t>
  </si>
  <si>
    <t xml:space="preserve">Mốc cuối 33–36 tháng (theo QĐ 388) — trẻ thể hiện lại lời nói/hành động nhân vật (kịch) một cách ổn định, chủ động.</t>
  </si>
  <si>
    <t xml:space="preserve">Luyện ở mức “thể hiện lại lời nói/hành động nhân vật (kịch)” thông qua: Bắt chước tiếng gà, mèo, vịt; chơi rối đơn giản; mô phỏng nhân vật khi cô kể.</t>
  </si>
  <si>
    <t xml:space="preserve">TRA CỨU NHANH — mỗi mã 1 dòng, 8 mốc ngang</t>
  </si>
  <si>
    <t xml:space="preserve">Xem nhanh tiến trình phát triển của từng năng lực</t>
  </si>
  <si>
    <t xml:space="preserve">HỒ SƠ GIÁO VIÊN &amp; THEO DÕI TRẺ</t>
  </si>
  <si>
    <t xml:space="preserve">Điền thông tin đơn vị và theo dõi mốc từng trẻ</t>
  </si>
  <si>
    <t xml:space="preserve">Tên giáo viên:</t>
  </si>
  <si>
    <t xml:space="preserve">Đơn vị trường:</t>
  </si>
  <si>
    <t xml:space="preserve">Lớp:</t>
  </si>
  <si>
    <t xml:space="preserve">Năm học:</t>
  </si>
  <si>
    <t xml:space="preserve">2026 – 2027</t>
  </si>
  <si>
    <t xml:space="preserve">Ngày cập nhật:</t>
  </si>
  <si>
    <t xml:space="preserve">Họ tên trẻ</t>
  </si>
  <si>
    <t xml:space="preserve">Mã năng lực theo dõi</t>
  </si>
  <si>
    <t xml:space="preserve">Mốc trẻ đang ở</t>
  </si>
  <si>
    <t xml:space="preserve">Ngày quan sát</t>
  </si>
  <si>
    <t xml:space="preserve">Minh chứng (mô tả/đường dẫn)</t>
  </si>
  <si>
    <t xml:space="preserve">Điều chỉnh áp dụng</t>
  </si>
  <si>
    <t xml:space="preserve"> </t>
  </si>
  <si>
    <t xml:space="preserve">CẦU NỐI KHUNG NĂNG LỰC — NHÀ TRẺ 12–36 THÁNG</t>
  </si>
  <si>
    <t xml:space="preserve">5 lĩnh vực Nhà trẻ (QĐ 388) ↔ 5 năng lực nền tảng + 4 phẩm chất · KHÔNG thay YCCĐ gốc</t>
  </si>
  <si>
    <t xml:space="preserve">Lĩnh vực Nhà trẻ (82 chỉ số)</t>
  </si>
  <si>
    <t xml:space="preserve">Năng lực nền tảng tương ứng</t>
  </si>
  <si>
    <t xml:space="preserve">Phẩm chất tương ứng</t>
  </si>
  <si>
    <t xml:space="preserve">Diễn giải liên thông</t>
  </si>
  <si>
    <t xml:space="preserve">TC – Thể chất</t>
  </si>
  <si>
    <t xml:space="preserve">Tự lực (tự phục vụ, vận động độc lập)</t>
  </si>
  <si>
    <t xml:space="preserve">Trách nhiệm (giữ an toàn, vệ sinh)</t>
  </si>
  <si>
    <t xml:space="preserve">Vận động thô, vận động tinh, tự phục vụ – sức khỏe là nền của Tự lực.</t>
  </si>
  <si>
    <t xml:space="preserve">TX – Tình cảm – xã hội</t>
  </si>
  <si>
    <t xml:space="preserve">Giao tiếp · Hợp tác · Thích ứng</t>
  </si>
  <si>
    <t xml:space="preserve">Yêu thương · Tôn trọng</t>
  </si>
  <si>
    <t xml:space="preserve">Nhận biết – quản lý cảm xúc, quan hệ xã hội là gốc của SEL &amp; 4 phẩm chất.</t>
  </si>
  <si>
    <t xml:space="preserve">NN – Ngôn ngữ</t>
  </si>
  <si>
    <t xml:space="preserve">Giao tiếp (nghe hiểu, diễn đạt)</t>
  </si>
  <si>
    <t xml:space="preserve">Tôn trọng (lắng nghe, lễ phép)</t>
  </si>
  <si>
    <t xml:space="preserve">Nghe hiểu – diễn đạt – tiền đọc/viết là cốt lõi năng lực Giao tiếp.</t>
  </si>
  <si>
    <t xml:space="preserve">NT – Nhận thức</t>
  </si>
  <si>
    <t xml:space="preserve">Giải quyết vấn đề · Thích ứng</t>
  </si>
  <si>
    <t xml:space="preserve">Trung thực (quan sát, thử nghiệm)</t>
  </si>
  <si>
    <t xml:space="preserve">Khám phá khoa học, tư duy logic là nền Giải quyết vấn đề &amp; tư duy STEAM.</t>
  </si>
  <si>
    <t xml:space="preserve">NgT – Nghệ thuật – thẩm mỹ</t>
  </si>
  <si>
    <t xml:space="preserve">Giao tiếp · Thích ứng</t>
  </si>
  <si>
    <t xml:space="preserve">Yêu thương (cảm thụ cái đẹp)</t>
  </si>
  <si>
    <t xml:space="preserve">Cảm thụ, thể hiện cảm xúc thẩm mỹ qua nhiều hình thức (âm nhạc, tạo hình, vận động) là cách trẻ nhỏ "giao tiếp phi ngôn ngữ" và thích ứng linh hoạt với vật liệu, tình huống mới. Không tách "Sáng tạo" thành năng lực nền tảng riêng — thống nhất với khung Mẫu giáo 3–6T.</t>
  </si>
  <si>
    <t xml:space="preserve">Ghi chú: Bảng chỉ để liên thông cách gọi tên; đánh giá trẻ nhà trẻ vẫn theo 82 chỉ số &amp; 8 mốc, thang I–H–V.</t>
  </si>
  <si>
    <t xml:space="preserve">KHUNG NĂNG LỰC NHÀ TRẺ 12–36 THÁNG (82 chỉ số × 8 mốc)</t>
  </si>
  <si>
    <t xml:space="preserve">Kế thừa Framework đã xây · YCCĐ 36th = đích · mốc = bậc tiến dần · thang I–H–V</t>
  </si>
  <si>
    <t xml:space="preserve">YCCĐ cuối 36th (QĐ388)</t>
  </si>
  <si>
    <t xml:space="preserve">Mốc 12–24th (tóm tắt)</t>
  </si>
  <si>
    <t xml:space="preserve">Mốc 24–36th (tóm tắt)</t>
  </si>
  <si>
    <t xml:space="preserve">Gợi ý STEAM</t>
  </si>
  <si>
    <t xml:space="preserve">Gợi ý SEL</t>
  </si>
  <si>
    <t xml:space="preserve">Hóng, mỉm cười khi cô vận động cùng (vẫy tay, vỗ tay).; Bắt chước 1–2 động tác đơn giản khi cô làm mẫu và đỡ.; Vận động cùng cô theo nhạc ngắn (nhún, vỗ tay) khi được khích lệ.; Hào hứng tham gia 1 hoạt động vận động ngắn, ít cần khích lệ.</t>
  </si>
  <si>
    <t xml:space="preserve">Chủ động tham gia vận động cùng nhóm, tỏ rõ thích thú.; Tham gia trọn hoạt động thể chất, vui vẻ làm theo cô.; Hăng hái tham gia nhiều dạng vận động khác nhau.; Vui vẻ, hào hứng tham gia vào các hoạt động thể chất.</t>
  </si>
  <si>
    <t xml:space="preserve">S: khám phá vận động, giác quan; E: xếp/lắp khối to</t>
  </si>
  <si>
    <t xml:space="preserve">Tự lực, kiên trì; an toàn bản thân</t>
  </si>
  <si>
    <t xml:space="preserve">Với/bò tới lấy đồ chơi ở gần khi cô khích lệ.; Cố thực hiện 1 vận động ngắn (bò tới đích) khi cô cầm tay.; Làm hết 1 lượt vận động ngắn với sự làm mẫu của cô.; Cố hoàn thành nhiệm vụ vận động đơn giản, ít trợ giúp.</t>
  </si>
  <si>
    <t xml:space="preserve">Hoàn thành nhiệm vụ vận động ngắn khi được nhắc.; Tự cố gắng đến hết lượt, nhờ cô khi thật cần.; Hoàn thành nhiệm vụ vận động vừa sức, kiên trì hơn.; Cố gắng hoàn thành nhiệm vụ thể chất với sự hỗ trợ.</t>
  </si>
  <si>
    <t xml:space="preserve">Quen được trấn an khi ăn/ngủ ở lớp với cô quen thuộc.; Theo nề nếp ăn–ngủ–vệ sinh quen thuộc trong lớp.; Giữ nề nếp khi đổi vị trí trong lớp, có cô hỗ trợ.; Bước đầu duy trì nề nếp khi đổi phòng/người chăm sóc.</t>
  </si>
  <si>
    <t xml:space="preserve">Duy trì ăn–ngủ–vệ sinh khi thay đổi địa điểm, ít bỡ ngỡ.; Tự giữ nề nếp khi đổi môi trường, cần nhắc ít.; Ổn định nề nếp ở môi trường mới khá nhanh.; Duy trì thực hiện các hoạt động ăn, ngủ, vệ sinh khi thay đổi môi trường.</t>
  </si>
  <si>
    <t xml:space="preserve">Chấp nhận vận động ở vị trí mới khi có cô bên cạnh.; Vận động cạnh bạn khác ở chỗ quen với cô.; Tham gia vận động khi đổi vị trí (trong lớp/ngoài hiên).; Vận động cạnh nhóm bạn khác có cô đi cùng.</t>
  </si>
  <si>
    <t xml:space="preserve">Tham gia vận động khi đổi địa điểm/bạn, ít bỡ ngỡ.; Tham gia vận động với nhóm bạn thay đổi, mạnh dạn hơn.; Thích ứng tốt khi đổi địa điểm, yêu cầu, bạn cùng chơi.; Tham gia hoạt động thể chất khi có sự thay đổi về địa điểm, yêu cầu hoạt động, bạn cùng chơi.</t>
  </si>
  <si>
    <t xml:space="preserve">Men/đi có vịn vài bước; bò vững.; Đi vài bước không vịn; bò qua vật thấp.; Đi vững hơn; bước lên bậc thấp có bám tay.; Đi/men ổn định; bò qua vật, lên bậc có vịn.</t>
  </si>
  <si>
    <t xml:space="preserve">Đi, chạy chậm có kiểm soát; bò; bật tại chỗ nhẹ.; Đi/chạy đổi hướng; lên xuống cầu thang có vịn; bật về trước.; Đi/chạy giữ thăng bằng khá tốt; bật tiến tốt hơn.; Tự thực hiện các vận động di chuyển với yêu cầu khác nhau, bước đầu kiểm soát vận động, giữ thăng bằng khi đi/chạy thay đổi hướng - tốc độ - địa hình; bò; đi lên xuống cầu thang có bám vịn; bật tiến về phía trước bằng hai chân.</t>
  </si>
  <si>
    <t xml:space="preserve">Cầm, thả, lăn đồ vật to cùng cô.; Lăn bóng cùng cô; mang vật khi đi.; Lăn/thả bóng; bò qua vật mềm có hỗ trợ.; Tung bóng hai tay gần; bò qua vật cản thấp.</t>
  </si>
  <si>
    <t xml:space="preserve">Tung–bắt bóng với cô (gần); ném về trước.; Ném về trước; tung–bắt bóng với cô; bò qua chướng ngại.; Ném xa hơn; tung–bắt khá hơn; trèo lên–xuống mô hình có hỗ trợ.; Thực hiện vận động với dụng cụ/thiết bị, vận động cùng giáo viên: di chuyển có mang vật; ném xa bằng một tay; ném trúng đích ngang tối thiểu 1,2m; tung - bắt bóng với giáo viên; đá trúng quả bóng đứng yên; trèo lên - xuống mô hình có hỗ trợ; bò qua chướng ngại vật.</t>
  </si>
  <si>
    <t xml:space="preserve">Ngồi xuống – đứng lên có điểm tựa.; Đứng vịn vững; nhún tại chỗ theo cô.; Ngồi xổm – đứng lên ít cần tựa.; Ngồi xổm – đứng lên không cần tựa; tập nhún.</t>
  </si>
  <si>
    <t xml:space="preserve">Bật nhẹ tại chỗ; giữ thăng bằng ngắn.; Bật nhảy tại chỗ; đứng co chân giữ thăng bằng (giây ngắn).; Giữ thăng bằng 1 chân khá hơn; bật tại chỗ tốt.; Thực hiện vận động tại chỗ, bước đầu giữ thăng bằng tĩnh: ngồi xổm thoải mái và đứng lên không cần hỗ trợ, giữ thăng bằng trên 1 chân; bật nhảy tại chỗ.</t>
  </si>
  <si>
    <t xml:space="preserve">Tự đi đến chỗ ngồi theo cô.; Đi lấy đồ vật quen thuộc theo yêu cầu.; Di chuyển theo cô khi chuyển hoạt động.; Đi/bò vận dụng trong vài hoạt động trong ngày.</t>
  </si>
  <si>
    <t xml:space="preserve">Vận dụng đi/chạy/bò trong sinh hoạt, ít cần nhắc.; Tự di chuyển hợp lý giữa các hoạt động.; Vận dụng vận động thô linh hoạt trong sinh hoạt.; Thực hiện các vận động thô phù hợp trong một số hoạt động sinh hoạt hằng ngày.</t>
  </si>
  <si>
    <t xml:space="preserve">Cầm, đập, thả đồ vật to.; Xếp chồng 2 khối; bốc nhả đồ vật.; Xếp chồng 2–3 khối; tháo–lắp; di màu cả bàn tay.; Xếp 3–4 khối; xâu hạt to; lật trang sách dày.</t>
  </si>
  <si>
    <t xml:space="preserve">Xếp 4–5 khối; vẽ nét nguệch ngoạc; xâu hạt.; Vẽ nét xổ/xiên; xếp chồng khối; tháo lắp xếp lồng.; Vẽ đường xoáy/nét; xếp ≥5 khối; nhào nặn; xâu thành thạo hơn.; Thao tác với đồ vật, vật liệu bước đầu thể hiện khả năng kiểm soát, điều chỉnh vận động cơ nhỏ bàn tay, ngón tay, phối hợp tay – mắt: sử dụng dụng cụ quen thuộc; vẽ các đường xoáy tròn, nét xổ thẳng, nét xiên; xếp chồng được tối thiểu 5 │khối trụ; tháo lắp, xếp lồng; nhào nặn; xâu; lật giở trang sách.</t>
  </si>
  <si>
    <t xml:space="preserve">Cầm cốc/thìa (cô đỡ); bốc nhón thức ăn.; Tập tự cầm thìa vài thìa; cầm khăn.; Tự xúc vài thìa; cầm cốc uống có hỗ trợ.; Tự xúc khá hơn; lấy–cất đồ vật nhỏ.</t>
  </si>
  <si>
    <t xml:space="preserve">Tự xúc ăn; cầm cốc uống; mở–đóng hộp to.; Tự phục vụ ăn uống; cởi/đội mũ với hỗ trợ.; Tự xúc ăn gọn; cất đồ dùng cá nhân khá tốt.; Sử dụng được vận động tinh phù hợp trong một sổ hoạt động sinh hoạt hằng ngày.</t>
  </si>
  <si>
    <t xml:space="preserve">Nhìn/với lấy món ăn, quả quen thuộc.; Chỉ vào quả/món ăn khi cô gọi tên.; Nhận ra, chỉ 1–2 thực phẩm quen thuộc.; Gọi tên (theo cách của trẻ) vài thực phẩm.</t>
  </si>
  <si>
    <t xml:space="preserve">Nói tên vài thực phẩm, món ăn thông thường.; Nói tên nhiều thực phẩm; phân biệt món quen.; Nói tên món ăn; bước đầu biết thực phẩm không nên ăn.; Thể hiện một số nhận biết về dinh dưỡng: nói được tên một số thực phẩm, món ăn thông thường và một số thực phẩm không nên ăn.</t>
  </si>
  <si>
    <t xml:space="preserve">Làm quen ăn cháo/cơm nát; ngồi ăn có hỗ trợ.; Ăn đa dạng hơn; tập tự xúc vài thìa.; Tự xúc khá; ngồi ăn cùng nhóm.; Tự xúc phần lớn; ăn đa dạng thực phẩm.</t>
  </si>
  <si>
    <t xml:space="preserve">Tự xúc ăn; ăn gần hết suất; ít rơi vãi.; Ăn đa dạng; tự xúc gọn; ăn hết suất.; Tự phục vụ ăn tốt; uống nước đúng cách.; Thực hành hành vi tốt trong ăn uống hằng ngày: ăn được đa dạng các loại thực phẩm, món ăn; tự xúc ăn và ăn hết khẩu phần.</t>
  </si>
  <si>
    <t xml:space="preserve">Theo nề nếp ngủ–ăn–vệ sinh quen thuộc của lớp.; Chấp nhận rửa tay, lau mặt khi cô làm.; Đi vệ sinh đúng nơi có nhắc; ngủ đúng giờ.; Giữ vệ sinh cơ thể với hỗ trợ; nề nếp ổn định.</t>
  </si>
  <si>
    <t xml:space="preserve">Có thói quen ngủ đúng giờ, đi vệ sinh đúng nơi.; Tự giữ vệ sinh cơ thể với nhắc ít.; Thói quen sinh hoạt khá ổn định, ít cần nhắc.; Có một số thói quen tốt trong sinh hoạt: ngủ đúng giờ, đi vệ sinh đúng nơi quy định, giữ vệ sinh cơ thể.</t>
  </si>
  <si>
    <t xml:space="preserve">Hợp tác đưa tay khi cô rửa tay.; Ngẩng mặt, hợp tác khi cô lau mặt, lau mũi.; Hợp tác trọn thao tác vệ sinh cô làm.; Bắt chước vài thao tác rửa tay cùng cô.</t>
  </si>
  <si>
    <t xml:space="preserve">Tự rửa tay, lau mặt vài bước với hỗ trợ.; Thực hiện các bước vệ sinh cá nhân với nhắc.; Tự rửa tay, lau mặt khá tốt; che miệng khi ho (tập).; Thực hiện được một sổ hành vi vệ sinh cá nhân: đi vệ sinh đúng cách; che miệng khi ho, hắt hơi; súc miệng; lau mặt, mũi, rửa tay với sự giúp đỡ của │ người lớn.</t>
  </si>
  <si>
    <t xml:space="preserve">Nhận ra khăn, cốc của mình khi cô chỉ.; Cầm được khăn, cốc của mình có hỗ trợ.; Dùng khăn, cốc của mình với hỗ trợ.; Lấy–cất khăn, cốc đúng nơi có nhắc.</t>
  </si>
  <si>
    <t xml:space="preserve">Sử dụng khăn, cốc, đồ dùng vệ sinh phù hợp.; Dùng đúng đồ dùng cá nhân, ít nhầm.; Sử dụng đồ dùng vệ sinh khá thành thạo.; Sử dụng được một số đồ dùng, dụng cụ vệ sinh phù hợp với sự hỗ trợ của │ người lớn.</t>
  </si>
  <si>
    <t xml:space="preserve">Khóc/ra hiệu khi đau, khó chịu để cô biết.; Kéo tay/chỉ chỗ đau cho cô.; Ra hiệu rõ hơn khi đau; chấp nhận mặc/cởi áo.; Báo cô khi khó chịu; chấp nhận đội mũ.</t>
  </si>
  <si>
    <t xml:space="preserve">Nói/ra hiệu vài dấu hiệu đau, mệt; mặc đúng thời tiết.; Báo người lớn khi đau, mệt; tự chấp nhận trang phục.; Nói được vài dấu hiệu không khỏe; mặc phù hợp thời tiết.; Nhận biết và nói cho người lớn biết một số dấu hiệu đơn giản khi bị thương, bị đau hoặc cảm thấy khó chịu; chấp nhận mặc trang phục phù hợp thời tiết.</t>
  </si>
  <si>
    <t xml:space="preserve">Bắt chước cô bỏ đồ vào rổ.; Bỏ rác/đồ vào nơi cô chỉ.; Tránh xa nơi cô chỉ là bẩn/nguy hiểm.; Bắt chước lau, dọn đơn giản cùng cô.</t>
  </si>
  <si>
    <t xml:space="preserve">Thực hiện vài hành vi giữ vệ sinh môi trường.; Bỏ rác đúng nơi, cất đồ gọn với nhắc.; Giữ vệ sinh môi trường khá tự giác.; Thực hiện được một số hành vi vệ sinh môi trường.</t>
  </si>
  <si>
    <t xml:space="preserve">Dừng lại/chú ý khi cô kêu 'Không!', 'Nóng!'.; Tránh vật cô chỉ là nguy hiểm.; Nhận ra vài nơi/vật nguy hiểm khi cô chỉ.; Chú ý dấu hiệu cô cảnh báo (đèn đỏ, ký hiệu).</t>
  </si>
  <si>
    <t xml:space="preserve">Nhận biết vài dấu hiệu cảnh báo nguy hiểm.; Nhận biết màu đỏ là dừng; vài ký hiệu đơn giản.; Nhận biết nhiều dấu hiệu cảnh báo nguy hiểm hơn.; Nhận biết một số dấu hiệu cảnh báo nguy hiểm.</t>
  </si>
  <si>
    <t xml:space="preserve">Dừng hành động khi cô nhắc (kèm cử chỉ).; Rời xa ổ điện, bậc cao khi có cô.; Tránh vật nóng/nguy hiểm khi được nhắc.; Không làm hành động nguy hiểm khi cô nhắc.</t>
  </si>
  <si>
    <t xml:space="preserve">Tránh đồ vật/nơi nguy hiểm khá tự giác.; Không leo trèo, không ra cổng khi được nhắc.; Tránh nguy hiểm và dừng hành vi nguy hiểm khá tốt.; Tránh một số đồ vật, địa điểm nguy hiểm, không thực hiện những hành động gây nguy hiểm khi được nhắc nhở.</t>
  </si>
  <si>
    <t xml:space="preserve">Quay đầu/phản ứng khi được gọi đúng tên.; Nhìn vào gương, ảnh khi cô chỉ.; Chú ý hình mình trong gương/ảnh (chưa tự nhận ra).; Bước đầu nhận ra mình trong ảnh quen thuộc khi cô hỏi.</t>
  </si>
  <si>
    <t xml:space="preserve">Nhận ra mình trong gương khi được hỏi.; Nhận ra mình trong ảnh; chỉ đúng khi cô hỏi.; Nhận ra mình trong gương và ảnh khá chắc chắn.; Nhận ra bản thân trong gương, trong ảnh khi được hỏi.</t>
  </si>
  <si>
    <t xml:space="preserve">A: soi gương cảm xúc; qua trò chơi đóng vai đơn giản</t>
  </si>
  <si>
    <t xml:space="preserve">Nhận biết – gọi tên cảm xúc; gắn bó, chơi cạnh bạn</t>
  </si>
  <si>
    <t xml:space="preserve">Khóc/ra hiệu khi đói, khát, muốn bế.; Chỉ tay, kéo tay để bày tỏ nhu cầu.; Dùng tiếng một + cử chỉ bày tỏ nhu cầu.; Nói tiếng/câu một tiếng bày tỏ nhu cầu rõ hơn.</t>
  </si>
  <si>
    <t xml:space="preserve">Bày tỏ nhu cầu bằng cử chỉ + lời nói ngắn.; Dùng lời nói đơn giản nói nhu cầu (con uống...).; Diễn đạt nhu cầu bằng câu ngắn khá rõ.; Thể hiện nhu cầu của bản thân bằng cử chỉ, hành động, lời nói.</t>
  </si>
  <si>
    <t xml:space="preserve">Với lấy đồ chơi thích; đẩy ra cái không thích.; Quay đi/đẩy ra rõ với cái không thích.; Chọn đồ chơi/món ăn thích khi được mời.; Bày tỏ thích/không thích bằng cử chỉ rõ.</t>
  </si>
  <si>
    <t xml:space="preserve">Nói/ra hiệu điều thích, không thích.; Bày tỏ sở thích bằng lời nói đơn giản.; Diễn đạt thích/không thích bằng câu ngắn.; Thể hiện điều bản thân thích hoặc không thích thông qua hành vi, lời nói.</t>
  </si>
  <si>
    <t xml:space="preserve">Biểu lộ rõ vui/khó chịu (cười, khóc).; Được cô gọi tên cảm xúc trong tình huống.; Nhận ra cảm xúc vui–buồn qua tranh khi cô hỏi.; Chỉ/nói cảm xúc vui–buồn của mình khi cô gợi.</t>
  </si>
  <si>
    <t xml:space="preserve">Nhận ra vài cảm xúc cơ bản của bản thân.; Gọi tên cảm xúc vui, buồn, sợ của mình.; Nhận biết nhiều cảm xúc cơ bản hơn.; Nhận ra một số cảm xúc cơ bản của bản thân.</t>
  </si>
  <si>
    <t xml:space="preserve">Cười, vỗ tay khi vui; lắc đầu khi không thích.; Thể hiện vui/không thích qua nét mặt, cử chỉ.; Biểu lộ vài cảm xúc qua nét mặt rõ hơn.; Bắt chước nét mặt biểu cảm cùng cô.</t>
  </si>
  <si>
    <t xml:space="preserve">Thể hiện vui, buồn, thích qua nét mặt + cử chỉ.; Biểu lộ cảm xúc bằng cử chỉ + lời nói ngắn.; Thể hiện nhiều cảm xúc khác nhau khá rõ.; Biểu lộ các cảm xúc khác nhau qua nét mặt, cử chỉ, hành động, lời nói.</t>
  </si>
  <si>
    <t xml:space="preserve">Dừng/đổi hành vi khi cô nhắc kèm cử chỉ.; Dừng hành vi khi cô nhắc, ít cần cử chỉ.; Chuyển hoạt động theo cô khi được nhắc.; Dừng và đổi hành vi khi cô nhắc rõ hơn.</t>
  </si>
  <si>
    <t xml:space="preserve">Dừng hành vi không phù hợp khi được nhắc.; Chờ đến lượt trong tình huống đơn giản.; Tự điều chỉnh hành vi khá tốt khi được nhắc.; Dừng lại hoặc thay đổi hành vi khi được người lớn nhắc nhở.</t>
  </si>
  <si>
    <t xml:space="preserve">Quen lớp, nhóm; phản ứng khi nghe 'các con'.; Nhận ra người thân quen khi đến lớp.; Biết mình thuộc nhóm/lớp khi cô nhắc.; Nhận biết vị trí mình (con/em) trong tình huống.</t>
  </si>
  <si>
    <t xml:space="preserve">Nhận biết là con/cháu/em trong gia đình, nhóm.; Biết mình là thành viên của lớp, nhóm.; Nhận biết vị trí bản thân khá rõ trong các quan hệ.; Nhận biết vị trí của bản thân là con/cháu/em... trong gia đình, nhóm, lớp.</t>
  </si>
  <si>
    <t xml:space="preserve">Phản ứng với tên mình.; Chỉ 1–2 bộ phận cơ thể khi cô hỏi.; Chỉ vài bộ phận; biết tên mình.; Nói (theo cách của trẻ) tên mình; chỉ bộ phận.</t>
  </si>
  <si>
    <t xml:space="preserve">Biết tên, vài thông tin về bản thân.; Biết tên, giới tính của mình.; Nói được tên, giới tính, vài đặc điểm bản thân.; Nhận biết một vài thông tin về bản thân.</t>
  </si>
  <si>
    <t xml:space="preserve">Hướng về cô, người thân quen.; Bập bẹ gọi (bà, mẹ, cô) theo cách của trẻ.; Nhận ra, gọi tên người thân quen.; Gọi tên cô, vài bạn quen.</t>
  </si>
  <si>
    <t xml:space="preserve">Nhận biết, gọi tên người thân, cô, bạn.; Gọi đúng tên nhiều bạn, người thân hơn.; Nhận biết, gọi tên người thân, cô, bạn khá rõ.; Nhận biết và gọi tên người thân, cô giáo/thẩy giáo, bạn bè.</t>
  </si>
  <si>
    <t xml:space="preserve">Vẫy tay, cười với người quen.; Bắt chước chào theo cô.; Chào, làm quen người quen mới với cô.; Chủ động vẫy tay, cười chào hơn.</t>
  </si>
  <si>
    <t xml:space="preserve">Làm quen người khác bằng cử chỉ, lời nói ngắn.; Chào hỏi, làm quen bạn mới mạnh dạn hơn.; Giao tiếp làm quen khá tự nhiên.; Làm quen với người khác bằng cử chỉ, hành động, lời nói đơn giản.</t>
  </si>
  <si>
    <t xml:space="preserve">Chỉ tay, kéo tay cho cô biết điều muốn.; Dùng tiếng một + cử chỉ với cô.; Ra hiệu/nói nhu cầu với cô, bạn.; Nói câu ngắn bày tỏ mong muốn.</t>
  </si>
  <si>
    <t xml:space="preserve">Dùng cử chỉ, lời nói nói nhu cầu, cảm xúc.; Nói 'con muốn', 'con cần cô giúp'.; Diễn đạt nhu cầu, mong muốn, cảm xúc khá rõ.; Sử dụng cử chỉ, lời nói đơn giản để thể hiện nhu cầu, mong muốn và cảm xúc với người thân, cô giáo/thầy giáo và bạn bè.</t>
  </si>
  <si>
    <t xml:space="preserve">Đưa/đặt đồ vật cho bạn khi cô bảo.; Bắt chước hành động giúp cùng cô.; Đưa đồ cho bạn theo lời cô rõ hơn.; Giúp bạn việc đơn giản khi cô hướng dẫn.</t>
  </si>
  <si>
    <t xml:space="preserve">Giúp đỡ bạn việc nhỏ khi có hướng dẫn.; Chủ động giúp bạn hơn khi cô gợi ý.; Giúp đỡ bạn khá tự nhiên khi được hướng dẫn.; Giúp đỡ bạn khi có sự hướng dẫn của người lớn.</t>
  </si>
  <si>
    <t xml:space="preserve">Nhìn theo khi bạn khóc/cười.; Phản ứng (chú ý) với cảm xúc của bạn.; Chú ý nét mặt cô, bạn khi cô chỉ.; Nhận ra bạn vui/buồn khi cô gợi.</t>
  </si>
  <si>
    <t xml:space="preserve">Nhận ra vài cảm xúc của người khác.; Gọi tên cảm xúc vui/buồn của bạn.; Nhận ra, gọi tên nhiều cảm xúc người khác hơn.; Nhận ra và gọi tên một số cảm xúc của người khác.</t>
  </si>
  <si>
    <t xml:space="preserve">Ôm, nép vào cô/người thân.; Cười, đưa tay đòi bế người quen.; Thích gần, thể hiện tình cảm với người quen.; Làm cử chỉ thân thiện với cô, bạn.</t>
  </si>
  <si>
    <t xml:space="preserve">Thể hiện tình cảm yêu quý với người thân, cô, bạn.; Thể hiện gắn bó qua hành động, lời nói ngắn.; Thể hiện tình cảm yêu quý khá rõ qua lời, hành động.; Thể hiện tình cảm yêu quý, gắn bó với người thân, cô giáo/thầy giáo và bạn bè qua hành động, lời nói.</t>
  </si>
  <si>
    <t xml:space="preserve">Dừng cào/cắn khi cô nhắc và hướng sang việc khác.; Ít làm đau bạn hơn khi được nhắc.; Dừng hành vi làm đau khi cô nhắc rõ.; Chơi nhẹ nhàng hơn với bạn.</t>
  </si>
  <si>
    <t xml:space="preserve">Hạn chế đánh, cắn, xô khi được nhắc.; Chơi hòa thuận, ít làm đau bạn.; Không làm đau bạn khá tự giác.; Không làm đau người thân, cô giáo và bạn bè: đánh, cắn, xô đẩy...</t>
  </si>
  <si>
    <t xml:space="preserve">Chấp nhận có bạn bên cạnh với cô hỗ trợ.; Chơi cạnh bạn thời gian ngắn.; Chơi cạnh bạn lâu hơn với hỗ trợ.; Chơi cạnh bạn, ít tranh giành.</t>
  </si>
  <si>
    <t xml:space="preserve">Chơi cạnh bạn, không tranh giành (có nhắc).; Chơi cạnh bạn, biết chờ với hỗ trợ.; Chơi cạnh bạn hòa thuận khá tốt.; Biết chơi cạnh bạn, không tranh giành với bạn.</t>
  </si>
  <si>
    <t xml:space="preserve">Khóc/kéo tay nhờ cô giúp khi gặp khó.; Chỉ, đưa đồ vật nhờ cô giúp.; Ra hiệu rõ hơn khi cần giúp.; Nói tiếng/câu ngắn nhờ cô giúp.</t>
  </si>
  <si>
    <t xml:space="preserve">Yêu cầu giúp đỡ bằng cử chỉ + lời.; Nói 'cô giúp con' khi cần.; Chủ động nhờ giúp đỡ khá rõ ràng.; Thể hiện lời nói/cử chỉ/hành động để yêu cầu người khác giúp đỡ.</t>
  </si>
  <si>
    <t xml:space="preserve">Bắt chước vẫy tay chào theo cô.; Bắt chước 'ạ', cúi đầu theo cô.; Chào, 'ạ' trong tình huống quen thuộc.; Chào hỏi lễ phép với nhắc của cô.</t>
  </si>
  <si>
    <t xml:space="preserve">Thể hiện lễ phép trong giao tiếp (có nhắc).; Chủ động chào, 'ạ', cảm ơn hơn.; Lễ phép trong giao tiếp khá tự nhiên.; Thể hiện sự lễ phép trong giao tiếp với người thân, cô giáo/thầy giáo.</t>
  </si>
  <si>
    <t xml:space="preserve">Ngồi vào chỗ theo cô khi có cử chỉ.; Theo nề nếp giờ ăn/ngủ quen thuộc.; Thực hiện hiệu lệnh kèm cử chỉ.; Theo vài quy định đơn giản của lớp.</t>
  </si>
  <si>
    <t xml:space="preserve">Thực hiện quy định đơn giản ở nhóm lớp.; Chờ đến lượt, theo quy định với nhắc ít.; Thực hiện quy định nhóm lớp khá tự giác.; Thực hiện một số quy định đơn giản trong gia đình và nhóm lớp.</t>
  </si>
  <si>
    <t xml:space="preserve">Bắt chước bỏ đồ chơi vào rổ cùng cô.; Đưa đồ vật cho cô khi được nhắc.; Bỏ đồ chơi vào rổ sau khi chơi (có cô).; Cất đồ chơi với hướng dẫn rõ hơn.</t>
  </si>
  <si>
    <t xml:space="preserve">Cất đồ chơi, đồ dùng cá nhân với hướng dẫn.; Cất dọn khá chủ động khi được nhắc.; Cất dọn đồ chơi, đồ dùng khá tự giác.; Biết cất dọn đồ chơi, đồ dùng cá nhân sau khi chơi, sử dụng với sự hướng dẫn của người lớn.</t>
  </si>
  <si>
    <t xml:space="preserve">Quan sát, chạm nhẹ cây/con vật an toàn.; Bắt chước cô tưới cây, cho ăn.; Tưới cây, cho cá ăn cùng cô.; Chăm sóc cây/con vật đơn giản có hướng dẫn.</t>
  </si>
  <si>
    <t xml:space="preserve">Thực hiện vài cử chỉ chăm sóc khi được hướng dẫn.; Chăm sóc cây/con vật chủ động hơn.; Chăm sóc cây trồng, vật nuôi khá tự nhiên.; Thực hiện một số cử chỉ, hành động đơn giản chăm sóc vật nuôi, cây trồng khi được hướng dẫn.</t>
  </si>
  <si>
    <t xml:space="preserve">Bắt chước bỏ rác vào thùng cùng cô.; Cất đồ vào nơi cô chỉ.; Bỏ rác đúng nơi với nhắc.; Bắt chước hành vi giữ môi trường sạch.</t>
  </si>
  <si>
    <t xml:space="preserve">Thực hiện vài hành vi bảo vệ môi trường.; Bỏ rác, cất đồ đúng nơi chủ động hơn.; Quan tâm giữ môi trường sạch khá tự giác.; Thực hiện một số hành vi quan tâm, bảo vệ môi trường xung quanh.</t>
  </si>
  <si>
    <t xml:space="preserve">Làm theo yêu cầu 1 hành động kèm cử chỉ (lại đây).; Làm theo yêu cầu quen thuộc gắn tình huống.; Làm theo yêu cầu 1 hành động, ít cần cử chỉ.; Làm theo 1–2 yêu cầu đơn giản bằng lời.</t>
  </si>
  <si>
    <t xml:space="preserve">Nghe, làm theo hướng dẫn đơn giản bằng lời.; Làm theo 2 yêu cầu liên tiếp đơn giản.; Hiểu và làm theo hướng dẫn bằng lời khá tốt.; Nghe và thực hiện được theo các hướng dẫn đơn giản bằng lời nói.</t>
  </si>
  <si>
    <t xml:space="preserve">A: kể chuyện tranh, hát; T: thẻ hình – âm thanh</t>
  </si>
  <si>
    <t xml:space="preserve">Lắng nghe, lễ phép; bày tỏ nhu cầu bằng lời/cử chỉ</t>
  </si>
  <si>
    <t xml:space="preserve">Nhìn/chỉ vào đối tượng khi cô hỏi 'đâu rồi'.; Chỉ tay trả lời 'ai đây', 'con gì'.; Chỉ + phát tiếng trả lời câu hỏi đơn giản.; Trả lời câu hỏi quen thuộc bằng tiếng một.</t>
  </si>
  <si>
    <t xml:space="preserve">Hiểu, trả lời câu hỏi đơn giản (tình huống quen).; Trả lời câu hỏi bằng câu ngắn.; Hiểu, trả lời nhiều câu hỏi đơn giản hơn.; Hiểu và trả lời được câu hỏi đơn giản liên quan đến tình huống quen thuộc.</t>
  </si>
  <si>
    <t xml:space="preserve">Bập bẹ tiếng một quen thuộc (bà, măm).; Phát âm tiếng một theo cô (bóng, gà).; Phát âm nhiều tiếng quen thuộc hơn.; Phát âm tiếng quen thuộc rõ hơn (ngôn ngữ tự trị giảm).</t>
  </si>
  <si>
    <t xml:space="preserve">Phát âm rõ vài tiếng quen thuộc.; Phát âm rõ nhiều tiếng quen thuộc.; Phát âm rõ, ít ngọng tiếng quen thuộc.; Phát âm rõ các tiếng quen thuộc.</t>
  </si>
  <si>
    <t xml:space="preserve">Dùng câu một tiếng (măm, bế) bày tỏ ý muốn.; Dùng tiếng một + cử chỉ rõ hơn.; Bắt đầu ghép câu hai tiếng (~18–20th).; Dùng câu hai tiếng bày tỏ ý muốn.</t>
  </si>
  <si>
    <t xml:space="preserve">Dùng câu đơn ngắn với từ quen thuộc.; Dùng câu đơn 2–3 từ diễn đạt ý muốn.; Dùng câu đơn khá rõ ràng.; Sử dụng được câu đơn với các từ ngữ quen thuộc để diễn đạt ý muốn của bản thân.</t>
  </si>
  <si>
    <t xml:space="preserve">Chỉ tay vào đồ vật mới (chưa hỏi).; Chỉ + phát tiếng 'gì đây' theo cô.; Hỏi 'gì đây' khi tò mò (đầu phát cảm ngôn ngữ).; Đặt câu hỏi đơn giản (cái gì, ở đâu) ngắn.</t>
  </si>
  <si>
    <t xml:space="preserve">Đặt câu hỏi đơn giản về đồ vật, con vật.; Hỏi nhiều câu hỏi đơn giản hơn.; Đặt câu hỏi đơn giản khá rõ ràng.; Đặt được câu hỏi đơn giản.</t>
  </si>
  <si>
    <t xml:space="preserve">Kết hợp tiếng với ánh mắt, nét mặt.; Kết hợp bập bẹ với chỉ tay biểu đạt.; Kết hợp tiếng + cử chỉ + nét mặt rõ hơn.; Dùng lời + điệu bộ thể hiện ý, cảm xúc.</t>
  </si>
  <si>
    <t xml:space="preserve">Kết hợp lời nói với cử chỉ, điệu bộ.; Dùng lời + điệu bộ diễn đạt phong phú hơn.; Kết hợp lời nói với cử chỉ khá tự nhiên.; Kết hợp lời nói với cử chỉ, điệu bộ, ánh mắt để thể hiện ý kiến hoặc cảm xúc.</t>
  </si>
  <si>
    <t xml:space="preserve">Bắt chước vẫy tay chào theo cô.; Bắt chước 'ạ', tạm biệt theo cô.; Nói 'ạ', chào, tạm biệt trong tình huống quen.; Dùng từ chào, tạm biệt với nhắc.</t>
  </si>
  <si>
    <t xml:space="preserve">Dùng từ lễ phép (chào, cảm ơn, tạm biệt).; Dùng từ lễ phép chủ động hơn.; Dùng từ lễ phép khá phù hợp tình huống.; Sử dụng được các từ chỉ sự lễ phép đơn giản như chào, cảm ơn, xin lỗi, tạm biệt phù hợp với tình huống giao tiếp và văn hoá.</t>
  </si>
  <si>
    <t xml:space="preserve">Chỉ vào tranh quen thuộc khi cô kể.; Phát tiếng mô phỏng nhân vật khi cô kể.; Chỉ + mô phỏng cử chỉ nhân vật quen thuộc.; Mô phỏng vài hành động nhân vật theo cách của trẻ.</t>
  </si>
  <si>
    <t xml:space="preserve">Diễn đạt (theo cách của trẻ) hành động nhân vật.; Kể lại (đơn giản) hành động nhân vật theo cách của trẻ.; Diễn đạt hành động nhân vật rõ hơn.; Diễn đạt được bằng lời nói các hành động của nhân vật trong tranh truyện theo cách của trẻ.</t>
  </si>
  <si>
    <t xml:space="preserve">Hóng nghe thơ/bài hát ngắn cô đọc.; Nhún nhảy, bập bẹ theo nhịp.; Đọc/hát theo vài tiếng cuối câu.; Đọc thơ, hát theo cô vài câu ngắn.</t>
  </si>
  <si>
    <t xml:space="preserve">Đọc thơ, hát theo bài ngắn (theo cách của trẻ).; Đọc thơ, hát có nhịp điệu hơn.; Đọc thơ, hát, kể có nhịp điệu khá rõ.; Kể chuyện, đọc thơ, hát… có nhịp điệu, diễn cảm theo cách của trẻ.</t>
  </si>
  <si>
    <t xml:space="preserve">Cầm, vỗ sách vải/sách dày.; Lật (chưa đúng chiều) sách dày.; Lật trang sách; nhìn tranh cùng cô.; Lật đúng chiều hơn; chỉ tranh.</t>
  </si>
  <si>
    <t xml:space="preserve">Chủ động cầm, mở, lật sách.; Lật sách đúng chiều; chọn sách thích.; Cầm, mở, lật sách khá thành thạo.; Chủ động cầm, mở, lật sách, ấn phẩm trong môi trường chơi – học.</t>
  </si>
  <si>
    <t xml:space="preserve">Hóng, cười khi cô đọc/kể.; Chỉ tranh khi cô đọc.; Thích ngồi vào lòng cô xem sách.; Hào hứng khi được nghe đọc sách.</t>
  </si>
  <si>
    <t xml:space="preserve">Vui thích khi được nghe đọc sách.; Chủ động đề nghị cô đọc sách (ra hiệu).; Tập trung nghe đọc sách lâu hơn.; Vui thích khi được nghe đọc sách.</t>
  </si>
  <si>
    <t xml:space="preserve">Nhìn vào hình ảnh trong sách.; Chỉ hình ảnh quen thuộc khi cô hỏi.; Chỉ đúng vài hình ảnh theo yêu cầu.; Chỉ hình ảnh quen thuộc khá đúng.</t>
  </si>
  <si>
    <t xml:space="preserve">Chỉ phần hình ảnh trong sách tranh.; Chỉ hình ảnh, tìm hình giống.; Chỉ hình ảnh và bước đầu chú ý chữ.; Chỉ được phần hình ảnh và chữ viết trong sách tranh.</t>
  </si>
  <si>
    <t xml:space="preserve">Cầm sáp to cả bàn tay.; Chấm, di màu tạo vết tự do.; Di màu cả bàn tay khi cô làm mẫu.; Tạo nét vẽ tự do trên giấy/bảng.</t>
  </si>
  <si>
    <t xml:space="preserve">Chủ động cầm sáp tạo nét vẽ.; Tạo nét vẽ có chủ đích hơn.; Dùng bút/sáp tạo nét khá tự nhiên; chỉ hình trong sách.; Chủ động cầm và sử dụng bút hoặc sáp màu để tạo nét vẽ trên giấy hoặc bảng.</t>
  </si>
  <si>
    <t xml:space="preserve">Di tay tạo vết trên giấy.; Chấm, gạch tạo vệt màu.; Tạo vệt nguệch ngoạc tự do.; Tạo nhiều vệt nguệch ngoạc hơn.</t>
  </si>
  <si>
    <t xml:space="preserve">Tạo được nét vẽ nguệch ngoạc.; Tạo vệt nguệch ngoạc có hướng hơn.; Tạo nét nguệch ngoạc khá phong phú.; Tạo được nét vẽ nguệch ngoạc.</t>
  </si>
  <si>
    <t xml:space="preserve">Chăm chú nhìn, với tay tới đồ vật/âm thanh mới.; Tỏ ngạc nhiên, thích thú với điều mới.; Lắng nghe, quan sát điều mới lâu hơn.; Chú ý + ra hiệu/hỏi về điều mới.</t>
  </si>
  <si>
    <t xml:space="preserve">Thích thú, chăm chú nhìn, nghe về điều mới.; Hỏi (gì đây) về con người, sự vật mới.; Tò mò, hỏi nhiều về điều mới hơn.; Thích thú với những điều mới: chăm chú nhìn, nghe, hỏi về con người, sự vật, hiện tượng.</t>
  </si>
  <si>
    <t xml:space="preserve">S: khám phá đồ vật, chìm–nổi; M: to–nhỏ, một–nhiều</t>
  </si>
  <si>
    <t xml:space="preserve">Tò mò, kiên nhẫn quan sát; thử – sai không nản</t>
  </si>
  <si>
    <t xml:space="preserve">Nhìn, sờ, cầm đồ vật quen thuộc.; Lắc, đưa lên miệng khám phá đồ vật.; Dùng vài giác quan khám phá đồ vật.; Sờ, nghe, nhìn để tìm hiểu đặc điểm.</t>
  </si>
  <si>
    <t xml:space="preserve">Dùng các giác quan tìm hiểu đối tượng gần gũi.; Khám phá đối tượng bằng nhiều giác quan hơn.; Phối hợp giác quan khám phá khá tốt.; Sử dụng các giác quan để tìm hiểu, khám phá các đối tượng gần gũi xung quanh.</t>
  </si>
  <si>
    <t xml:space="preserve">Nhìn cô thao tác đồ vật.; Bắt chước 1 hành động cô làm mẫu.; Lặp lại hành động (lắc, gõ, mở) theo cô.; Bắt chước, lặp lại nhiều lần hành động.</t>
  </si>
  <si>
    <t xml:space="preserve">Lặp lại hành động tìm hiểu theo gợi ý/bắt chước.; Bắt chước hành động khám phá phức tạp hơn.; Lặp lại, điều chỉnh hành động khám phá.; Thực hiện hoặc lặp lại các hành động tìm hiểu, khám phá con người, sự vật, hiện tượng gần gũi theo gợi ý hoặc bắt chước người khác.</t>
  </si>
  <si>
    <t xml:space="preserve">Tác động đồ vật 1 cách (cầm, lắc).; Thử 2 cách (lắc, gõ) với đồ vật.; Thử nhiều cách (cầm, lắc, gõ, thả).; Thử cách mới khi cách cũ không được.</t>
  </si>
  <si>
    <t xml:space="preserve">Thử các cách khác nhau khám phá đồ vật.; Thử nghiệm có chủ đích hơn với đồ vật.; Thử nhiều cách và quan sát kết quả.; Thử các cách khác nhau để khám phá thế giới đồ vật.</t>
  </si>
  <si>
    <t xml:space="preserve">Nhận ra, chỉ đồ vật/con vật quen thuộc.; Bập bẹ gọi tên theo cách của trẻ.; Chỉ + gọi tên đối tượng quen thuộc.; Gọi tên + nói 1 đặc điểm nổi bật.</t>
  </si>
  <si>
    <t xml:space="preserve">Gọi tên, mô tả đặc điểm nổi bật.; Mô tả vài đặc điểm của đối tượng.; Gọi tên, mô tả đặc điểm khá rõ.; Gọi tên và mô tả đặc điểm nổi bật của con người, sự vật, hiện tượng gần gũi.</t>
  </si>
  <si>
    <t xml:space="preserve">Cầm, so sánh đồ vật to–nhỏ.; Làm quen 'một' và 'nhiều' qua thao tác.; Chọn vật to/nhỏ theo cô.; Phân biệt to–nhỏ, một–nhiều rõ hơn.</t>
  </si>
  <si>
    <t xml:space="preserve">Nhận biết số lượng (một–nhiều), kích thước.; Nhận biết to–nhỏ, một–nhiều khá chắc.; Nhận biết số lượng, kích thước nhiều đồ vật hơn.; Nhận biết số lượng và kích thước của một số đồ vật.</t>
  </si>
  <si>
    <t xml:space="preserve">Cầm vật dạng tròn làm quen.; Thả hình tròn vào khuôn.; Nhặt vật tròn theo cô.; Làm quen hình tròn qua nhiều thao tác.</t>
  </si>
  <si>
    <t xml:space="preserve">Nhận biết hình tròn (chưa cần gọi tên).; Chọn hình tròn theo yêu cầu.; Nhận biết, bước đầu gọi tên hình tròn.; Nhận biết và gọi tên một số hình phẳng cơ bản.</t>
  </si>
  <si>
    <t xml:space="preserve">Thực hiện hành động đúng công dụng (đưa cốc lên miệng).; Cầm thìa xúc; dùng đồ vật quen thuộc đúng cách.; Dùng vài đồ vật đúng công dụng.; Biết công dụng đồ vật qua hành động.</t>
  </si>
  <si>
    <t xml:space="preserve">Nói (theo cách trẻ) công dụng đồ vật quen thuộc.; Nói công dụng vài đồ vật.; Nói công dụng nhiều đồ vật quen thuộc hơn.; Nói được công dụng của một số đồ vật quen thuộc.</t>
  </si>
  <si>
    <t xml:space="preserve">Chú ý thay đổi rõ rệt (đèn bật–tắt).; Phản ứng với mở–đóng, có–không.; Nhận ra thay đổi khi cô tạo tình huống.; Chú ý thay đổi của sự vật quen thuộc.</t>
  </si>
  <si>
    <t xml:space="preserve">Nhận biết sự thay đổi bên ngoài của đối tượng.; Nhận ra nhiều thay đổi hơn (hoa nở, trời mưa).; Nhận biết, nói (theo cách trẻ) về thay đổi.; Nhận biết sự thay đổi bên ngoài của con người, sự vật, hiện tượng gần gũi.</t>
  </si>
  <si>
    <t xml:space="preserve">Chọn 1 trong 2 đồ vật khi cô đưa.; Chọn đúng vật khác nhau rõ nét theo cô.; Phân biệt 2 đồ vật khác nhau rõ nét.; Chọn đúng 1 trong 2 theo yêu cầu.</t>
  </si>
  <si>
    <t xml:space="preserve">Phân biệt hai đối tượng (to–nhỏ, khác loại).; Phân biệt 2 đối tượng khác nhau hơn.; Phân biệt hai đối tượng khá chắc chắn.; Phân biệt được hai đối tượng.</t>
  </si>
  <si>
    <t xml:space="preserve">Bắt chước cô bỏ vật vào rổ.; Bỏ vật cùng loại vào rổ (bóng với bóng).; Phân loại đơn giản theo cô.; Chọn vật cùng nhóm theo cô.</t>
  </si>
  <si>
    <t xml:space="preserve">Phân loại theo một đặc điểm chung.; Phân loại theo đặc điểm rõ hơn.; Phân loại nhiều nhóm hơn.; Phân loại sự vật dựa trên một đặc điểm chung.</t>
  </si>
  <si>
    <t xml:space="preserve">Bỏ vào – lấy ra khỏi rổ theo cô.; Làm quen 'trong–ngoài' qua thao tác.; Đặt vật 'lên' theo yêu cầu.; Làm quen 'trên–dưới', 'trong–ngoài'.</t>
  </si>
  <si>
    <t xml:space="preserve">Xác định vị trí vật so với bản thân.; Xác định vài vị trí (trên–dưới, trong–ngoài).; Xác định vị trí vật khá chắc chắn.; Xác định vị trí của vật so với bản thân.</t>
  </si>
  <si>
    <t xml:space="preserve">Thực hiện hành động quen (đói đòi ăn) có hỗ trợ.; Lấy cốc khi khát theo hướng dẫn.; Hành động đúng tình huống quen thuộc.; Tự xử lý vài tình huống sinh hoạt đơn giản.</t>
  </si>
  <si>
    <t xml:space="preserve">Hành động phù hợp tình huống sinh hoạt.; Xử lý tình huống sinh hoạt chủ động hơn.; Hành động phù hợp nhiều tình huống hơn.; Thể hiện hành động đơn giản phù hợp với tình huống trong sinh hoạt hằng ngày.</t>
  </si>
  <si>
    <t xml:space="preserve">Thử lấy đồ vật ở gần.; Thử mở hộp, thả hình.; Thử nhiều lần để đạt mục tiêu.; Điều chỉnh cách làm khi chưa được.</t>
  </si>
  <si>
    <t xml:space="preserve">Thử và điều chỉnh hành động giải quyết vấn đề.; Giải quyết vấn đề đơn giản chủ động hơn.; Thử–điều chỉnh khá linh hoạt.; Thử và điều chỉnh hành động để giải quyết vấn đề đơn giản trong sinh hoạt hằng ngày.</t>
  </si>
  <si>
    <t xml:space="preserve">Dùng đồ vật quen thuộc đúng cách có hỗ trợ.; Cầm cốc, thìa đúng cách.; Lăn bóng, dùng đồ vật quen thuộc.; Hành động dựa trên hiểu biết về đồ vật.</t>
  </si>
  <si>
    <t xml:space="preserve">Thực hiện hành động đơn giản dựa trên hiểu biết.; Hành động phù hợp với đồ vật, môi trường hơn.; Hành động dựa trên hiểu biết khá linh hoạt.; Thực hiện các hành động đơn giản dựa trên hiểu biết về con người, đồ vật và môi trường xung quanh trong các tình huống quen thuộc.</t>
  </si>
  <si>
    <t xml:space="preserve">Tránh vật/nơi nguy hiểm khi cô nhắc.; Không cho vật lạ vào miệng khi nhắc.; Không ném đồ khi được nhắc.; Hành động an toàn hơn trong sinh hoạt.</t>
  </si>
  <si>
    <t xml:space="preserve">Thực hiện hành động an toàn, bảo vệ bản thân.; Bảo vệ bản thân, đồ vật, môi trường hơn.; Hành động an toàn khá tự giác.; Thực hiện hành động an toàn, bảo vệ bản thân, sự vật và môi trường gần gũi xung quanh.</t>
  </si>
  <si>
    <t xml:space="preserve">Tỏ thích thú (cười, chú ý) trước màu sắc, âm thanh đẹp.; Với tay tới đồ vật, tranh đẹp bắt mắt.; Chú ý lâu hơn trước vẻ đẹp; vỗ tay.; Biểu lộ thích thú rõ (cười, reo) trước vẻ đẹp.</t>
  </si>
  <si>
    <t xml:space="preserve">Thể hiện cảm xúc (thích, vui) trước vẻ đẹp.; Hát theo, vỗ tay, nhún nhảy khi thấy đẹp.; Thể hiện nhiều cảm xúc trước vẻ đẹp hơn.; Thể hiện cảm xúc (thích thú, vui vẻ, ngạc nhiên, tán thưởng, hát theo, vỗ tay, nhún nhảy, đung đưa, lắc lư...) khi tiếp xúc với vẻ đẹp trong thiên nhiên, cuộc sống và nghệ thuật.</t>
  </si>
  <si>
    <t xml:space="preserve">A: di màu, nặn, âm nhạc; khám phá màu sắc – âm thanh</t>
  </si>
  <si>
    <t xml:space="preserve">Cảm thụ cái đẹp; tự tin thể hiện, chia sẻ sản phẩm</t>
  </si>
  <si>
    <t xml:space="preserve">Hóng nghe nhạc/bài hát ngắn.; Dừng lại lắng nghe khi có nhạc.; Đung đưa khi nghe nhạc.; Thể hiện cảm nhận (vỗ tay, cười) với bài hát.</t>
  </si>
  <si>
    <t xml:space="preserve">Lắng nghe, thể hiện cảm nhận với bài hát.; Phản ứng cảm xúc rõ hơn với bài hát.; Lắng nghe, cảm nhận bài hát khá rõ.; Lắng nghe và thể hiện được cảm nhận của bản thân với bài hát, bản nhạc.</t>
  </si>
  <si>
    <t xml:space="preserve">Bập bẹ, ê a khi nghe hát.; Phát vài tiếng theo giai điệu cùng cô.; Hát ê a theo bài hát ngắn quen thuộc.; Hát theo vài tiếng cuối câu.</t>
  </si>
  <si>
    <t xml:space="preserve">Hát theo giai điệu/bài hát ngắn.; Hát theo bài hát ngắn rõ hơn.; Hát theo bài hát ngắn khá rõ lời.; Hát theo giai điệu/bài hát ngắn, phù hợp lứa tuổi.</t>
  </si>
  <si>
    <t xml:space="preserve">Vỗ tay theo nhạc khi cô làm mẫu.; Nhún, lắc lư theo nhạc.; Vẫy tay, nhún theo nhạc cùng cô.; Vận động vài động tác theo nhạc.</t>
  </si>
  <si>
    <t xml:space="preserve">Vận động đơn giản theo nhạc.; Vận động lặp lại theo bài hát.; Vận động theo nhạc khá nhịp nhàng.; Vận động đơn giản, lặp đi lặp lại theo bài hát, bản nhạc (vỗ tay, giậm chân, vẫy tay, nhún nhảy...).</t>
  </si>
  <si>
    <t xml:space="preserve">Cầm, lắc xắc xô tạo âm thanh.; Gõ trống nhỏ tạo âm thanh.; Lắc, gõ nhạc cụ theo cô.; Tạo âm thanh bằng vài dụng cụ.</t>
  </si>
  <si>
    <t xml:space="preserve">Tạo âm thanh bằng dụng cụ âm nhạc.; Tạo âm thanh theo nhịp đơn giản.; Chơi nhạc cụ tạo âm thanh khá nhịp nhàng.; Tạo ra âm thanh bằng cách chơi với các đồ dùng, dụng cụ âm nhạc.</t>
  </si>
  <si>
    <t xml:space="preserve">Thích thú vỗ tay trong hoạt động âm nhạc.; Làm theo cô trong hoạt động âm nhạc.; Tham gia hát, vận động tập thể với cô.; Hứng thú tham gia biểu diễn cùng cô.</t>
  </si>
  <si>
    <t xml:space="preserve">Hứng thú biểu diễn âm nhạc với người lớn.; Mạnh dạn tham gia biểu diễn hơn.; Hứng thú, tự tin biểu diễn cùng người lớn.; Thể hiện sự hứng thú khi tham gia biểu diễn âm nhạc với người lớn.</t>
  </si>
  <si>
    <t xml:space="preserve">Cầm, chạm giấy, đất nặn, sáp màu.; Bóp, vò giấy, đất nặn mềm.; Làm quen nhiều vật liệu tạo hình hơn.; Dùng vài vật liệu tạo hình đơn giản.</t>
  </si>
  <si>
    <t xml:space="preserve">Làm quen, dùng nguyên vật liệu tạo hình.; Sử dụng vài phương tiện tạo hình đơn giản.; Dùng nguyên vật liệu tạo hình khá thành thạo.; Làm quen và sử dụng một số phương tiện, nguyên vật liệu tạo hình đơn giản.</t>
  </si>
  <si>
    <t xml:space="preserve">Di màu cả bàn tay.; Chấm màu tạo vết.; Bóp, véo đất nặn theo cô.; Di màu, in dấu tay tạo sản phẩm.</t>
  </si>
  <si>
    <t xml:space="preserve">Thao tác tạo hình cơ bản (di màu, nặn, xé).; Vò, in, xé dán đơn giản.; Thực hiện nhiều thao tác tạo hình hơn.; Thực hiện một số thao tác tạo hình cơ bản (di màu, vẽ nguệch ngoạc, vò, nặn, in, xé, dán, lắp ghép) để tạo ra sản phẩm đơn giản và thích thú với quá trình đó.</t>
  </si>
  <si>
    <t xml:space="preserve">Nhìn vết màu mình vừa tạo.; Chỉ, phát tiếng về sản phẩm của mình.; Cười, chỉ sản phẩm mình tạo ra.; Nói (theo cách trẻ) về sản phẩm của mình.</t>
  </si>
  <si>
    <t xml:space="preserve">Nói về sản phẩm tạo hình của bản thân.; Nói vài điều về sản phẩm của mình.; Nói về sản phẩm theo cảm nhận rõ hơn.; Nói về sản phẩm tạo hình do trẻ tạo ra theo cảm nhận của bản thân.</t>
  </si>
  <si>
    <t xml:space="preserve">Bắt chước bế búp bê theo cô.; Bắt chước ru, đút búp bê ăn.; Chơi thao tác chăm sóc búp bê cùng cô.; Thể hiện vài hành động chăm sóc (đóng vai).</t>
  </si>
  <si>
    <t xml:space="preserve">Thể hiện hình ảnh người thân qua đóng vai đơn giản.; Đóng vai chăm sóc búp bê chủ động hơn.; Thể hiện vai người thân khá rõ.; Thể hiện hình ảnh người thân (đóng vai).</t>
  </si>
  <si>
    <t xml:space="preserve">Bắt chước 1 tiếng kêu con vật theo cô.; Bắt chước 1 cử chỉ nhân vật quen thuộc.; Mô phỏng tiếng kêu, cử chỉ nhân vật.; Thể hiện vài cử chỉ/tiếng nhân vật theo cô.</t>
  </si>
  <si>
    <t xml:space="preserve">Thể hiện lại cử chỉ/tiếng nhân vật quen thuộc.; Mô phỏng nhân vật trong tình huống chơi.; Thể hiện cử chỉ, lời nói nhân vật rõ hơn.; Thể hiện lại lời nói/hành động nhân vật (kịch).</t>
  </si>
  <si>
    <t xml:space="preserve">NGÂN HÀNG HOẠT ĐỘNG STEAM/SEL — NHÀ TRẺ 12–36 THÁNG</t>
  </si>
  <si>
    <t xml:space="preserve">Học qua chơi – trải nghiệm giác quan · gắn 8 chủ đề &amp; 5 lĩnh vực</t>
  </si>
  <si>
    <t xml:space="preserve">Chủ đề</t>
  </si>
  <si>
    <t xml:space="preserve">Hoạt động gợi ý (qua chơi)</t>
  </si>
  <si>
    <t xml:space="preserve">Lĩnh vực chính</t>
  </si>
  <si>
    <t xml:space="preserve">STEAM</t>
  </si>
  <si>
    <t xml:space="preserve">SEL</t>
  </si>
  <si>
    <t xml:space="preserve">NT-01</t>
  </si>
  <si>
    <t xml:space="preserve">Bé và cô</t>
  </si>
  <si>
    <t xml:space="preserve">Soi gương gọi tên bé; hát 'Lời chào'; chơi cạnh bạn</t>
  </si>
  <si>
    <t xml:space="preserve">TX, NN</t>
  </si>
  <si>
    <t xml:space="preserve">A: gương – ảnh</t>
  </si>
  <si>
    <t xml:space="preserve">Gắn bó an toàn; làm quen bạn</t>
  </si>
  <si>
    <t xml:space="preserve">NT-02</t>
  </si>
  <si>
    <t xml:space="preserve">Cơ thể bé</t>
  </si>
  <si>
    <t xml:space="preserve">Chỉ mắt–mũi–miệng; 'Ồ sao bé không lắc'; rửa tay</t>
  </si>
  <si>
    <t xml:space="preserve">TC, TX</t>
  </si>
  <si>
    <t xml:space="preserve">S: các bộ phận</t>
  </si>
  <si>
    <t xml:space="preserve">Nhận biết cảm xúc bản thân</t>
  </si>
  <si>
    <t xml:space="preserve">NT-03</t>
  </si>
  <si>
    <t xml:space="preserve">Đồ dùng – đồ chơi</t>
  </si>
  <si>
    <t xml:space="preserve">Xếp khối, thả hình, xâu hạt to; chơi thao tác</t>
  </si>
  <si>
    <t xml:space="preserve">NT, TC</t>
  </si>
  <si>
    <t xml:space="preserve">S/E: xếp – lắp</t>
  </si>
  <si>
    <t xml:space="preserve">Chơi cạnh bạn; cất dọn</t>
  </si>
  <si>
    <t xml:space="preserve">NT-04</t>
  </si>
  <si>
    <t xml:space="preserve">Con vật bé yêu</t>
  </si>
  <si>
    <t xml:space="preserve">Bắt chước tiếng con vật; xem tranh gọi tên; rối tay</t>
  </si>
  <si>
    <t xml:space="preserve">NN, NT</t>
  </si>
  <si>
    <t xml:space="preserve">S: con vật</t>
  </si>
  <si>
    <t xml:space="preserve">Yêu quý con vật</t>
  </si>
  <si>
    <t xml:space="preserve">NT-05</t>
  </si>
  <si>
    <t xml:space="preserve">Cây – hoa – quả</t>
  </si>
  <si>
    <t xml:space="preserve">Gieo hạt, tưới cây; sờ lá ngửi hoa; di màu quả</t>
  </si>
  <si>
    <t xml:space="preserve">NT, NgT</t>
  </si>
  <si>
    <t xml:space="preserve">S: nảy mầm</t>
  </si>
  <si>
    <t xml:space="preserve">Trách nhiệm chăm cây</t>
  </si>
  <si>
    <t xml:space="preserve">NT-06</t>
  </si>
  <si>
    <t xml:space="preserve">Bé với gia đình</t>
  </si>
  <si>
    <t xml:space="preserve">Album ảnh người thân; chơi cho búp bê ăn; tự xúc</t>
  </si>
  <si>
    <t xml:space="preserve">TX, TC</t>
  </si>
  <si>
    <t xml:space="preserve">A: album</t>
  </si>
  <si>
    <t xml:space="preserve">Yêu thương gia đình; tự lực</t>
  </si>
  <si>
    <t xml:space="preserve">NT-07</t>
  </si>
  <si>
    <t xml:space="preserve">Phương tiện &amp; âm thanh</t>
  </si>
  <si>
    <t xml:space="preserve">Lăn/đẩy ô tô; bắt chước tiếng xe; tạo âm thanh</t>
  </si>
  <si>
    <t xml:space="preserve">T: âm thanh</t>
  </si>
  <si>
    <t xml:space="preserve">An toàn; tránh nguy hiểm</t>
  </si>
  <si>
    <t xml:space="preserve">NT-08</t>
  </si>
  <si>
    <t xml:space="preserve">Mùa hè &amp; bé lớn lên</t>
  </si>
  <si>
    <t xml:space="preserve">Chơi nước mát; di màu; ngắm – hát về mùa hè</t>
  </si>
  <si>
    <t xml:space="preserve">NgT, NT</t>
  </si>
  <si>
    <t xml:space="preserve">S: nước</t>
  </si>
  <si>
    <t xml:space="preserve">Tự tin thể hiện; cảm thụ đẹp</t>
  </si>
  <si>
    <t xml:space="preserve">Ghi chú: Hoạt động nhà trẻ ưu tiên chơi – trải nghiệm giác quan, thời lượng ngắn, nhiều hỗ trợ của cô; bám 82 chỉ số.</t>
  </si>
  <si>
    <t xml:space="preserve">HOẠT ĐỘNG BỔ SUNG THEO MÃ — LĨNH VỰC TC (THỂ CHẤT), ngắn – nhẹ – chơi/trải nghiệm – đa giác quan</t>
  </si>
  <si>
    <t xml:space="preserve">Hoạt động ngắn – nhẹ</t>
  </si>
  <si>
    <t xml:space="preserve">Bối cảnh</t>
  </si>
  <si>
    <t xml:space="preserve">Thời lượng gợi ý</t>
  </si>
  <si>
    <t xml:space="preserve">Đa giác quan</t>
  </si>
  <si>
    <t xml:space="preserve">Nhún nhảy theo nhạc vui cùng cô 2-3 phút đầu giờ</t>
  </si>
  <si>
    <t xml:space="preserve">Chơi/Vận động</t>
  </si>
  <si>
    <t xml:space="preserve">2-3 phút</t>
  </si>
  <si>
    <t xml:space="preserve">Thính giác (nhạc) + vận động toàn thân</t>
  </si>
  <si>
    <t xml:space="preserve">Trò chơi "Bò tới đích lấy bóng" — đặt bóng cách 1-2m</t>
  </si>
  <si>
    <t xml:space="preserve">3-5 phút</t>
  </si>
  <si>
    <t xml:space="preserve">Thị giác (nhìn đích) + xúc giác (cầm bóng)</t>
  </si>
  <si>
    <t xml:space="preserve">Góc "ăn-ngủ quen thuộc" — giữ đúng vị trí ngồi/nệm mỗi ngày dù đổi cô</t>
  </si>
  <si>
    <t xml:space="preserve">Chăm sóc/Sinh hoạt</t>
  </si>
  <si>
    <t xml:space="preserve">Cả buổi</t>
  </si>
  <si>
    <t xml:space="preserve">Cảm giác an toàn qua vị trí quen thuộc</t>
  </si>
  <si>
    <t xml:space="preserve">Đổi chỗ chơi vận động (trong lớp ra sân) có cô dẫn tay làm quen trước</t>
  </si>
  <si>
    <t xml:space="preserve">Vận động/Sinh hoạt</t>
  </si>
  <si>
    <t xml:space="preserve">5 phút</t>
  </si>
  <si>
    <t xml:space="preserve">Thị giác + xúc giác (cô cầm tay)</t>
  </si>
  <si>
    <t xml:space="preserve">Đi trên "con đường lá" (thảm lá giả/xốp) tới rổ đồ chơi</t>
  </si>
  <si>
    <t xml:space="preserve">Xúc giác bàn chân + thị giác</t>
  </si>
  <si>
    <t xml:space="preserve">Lăn bóng qua vòng tròn nhỏ cùng bạn</t>
  </si>
  <si>
    <t xml:space="preserve">Thị giác + vận động tay-mắt</t>
  </si>
  <si>
    <t xml:space="preserve">Trò chơi "Đứng lên - Ngồi xuống" theo hiệu lệnh trống</t>
  </si>
  <si>
    <t xml:space="preserve">3 phút</t>
  </si>
  <si>
    <t xml:space="preserve">Thính giác (trống) + vận động</t>
  </si>
  <si>
    <t xml:space="preserve">Tự leo lên ghế ngồi vào bàn ăn (ghế thấp, an toàn)</t>
  </si>
  <si>
    <t xml:space="preserve">Sinh hoạt</t>
  </si>
  <si>
    <t xml:space="preserve">1 phút/lần</t>
  </si>
  <si>
    <t xml:space="preserve">Vận động thô + cảm nhận cơ thể</t>
  </si>
  <si>
    <t xml:space="preserve">Xâu hạt gỗ to màu sắc, xếp chồng khối mềm</t>
  </si>
  <si>
    <t xml:space="preserve">Chơi/Khám phá giác quan</t>
  </si>
  <si>
    <t xml:space="preserve">5-10 phút</t>
  </si>
  <si>
    <t xml:space="preserve">Xúc giác + thị giác màu sắc</t>
  </si>
  <si>
    <t xml:space="preserve">Tự xúc cơm/cháo bằng thìa trong giờ ăn, không ép hoàn thành nhanh</t>
  </si>
  <si>
    <t xml:space="preserve">Cả bữa ăn</t>
  </si>
  <si>
    <t xml:space="preserve">Vị giác + xúc giác + vận động tinh</t>
  </si>
  <si>
    <t xml:space="preserve">Sờ - ngửi - gọi tên rau củ thật trước giờ ăn ("Đây là gì nhỉ?")</t>
  </si>
  <si>
    <t xml:space="preserve">Nuôi dưỡng/Khám phá giác quan</t>
  </si>
  <si>
    <t xml:space="preserve">Khứu giác + xúc giác + thị giác</t>
  </si>
  <si>
    <t xml:space="preserve">Trò chơi "Mời cô mời bạn" trước khi ăn</t>
  </si>
  <si>
    <t xml:space="preserve">Nuôi dưỡng/Giao tiếp</t>
  </si>
  <si>
    <t xml:space="preserve">1 phút</t>
  </si>
  <si>
    <t xml:space="preserve">Giao tiếp lời nói + cử chỉ</t>
  </si>
  <si>
    <t xml:space="preserve">Nhạc hiệu riêng báo giờ ngủ, giờ ăn mỗi ngày</t>
  </si>
  <si>
    <t xml:space="preserve">Lặp lại hằng ngày</t>
  </si>
  <si>
    <t xml:space="preserve">Thính giác (âm thanh quen thuộc)</t>
  </si>
  <si>
    <t xml:space="preserve">Bài hát "Rửa tay" kèm 5 bước rửa tay minh họa bằng tranh</t>
  </si>
  <si>
    <t xml:space="preserve">2 phút</t>
  </si>
  <si>
    <t xml:space="preserve">Thính giác + thị giác + xúc giác (nước)</t>
  </si>
  <si>
    <t xml:space="preserve">Tự chọn khăn mặt/cốc có ký hiệu riêng (hình con vật) của mình</t>
  </si>
  <si>
    <t xml:space="preserve">Thị giác (nhận ký hiệu) + xúc giác</t>
  </si>
  <si>
    <t xml:space="preserve">Trò chuyện "Con thấy trong người thế nào?" kèm tranh biểu cảm khuôn mặt</t>
  </si>
  <si>
    <t xml:space="preserve">Giao tiếp/Chăm sóc</t>
  </si>
  <si>
    <t xml:space="preserve">Thị giác (tranh) + ngôn ngữ</t>
  </si>
  <si>
    <t xml:space="preserve">Trò chơi "Về đúng nhà" — cất đồ chơi vào rổ có nhãn hình tương ứng</t>
  </si>
  <si>
    <t xml:space="preserve">Chơi/Sinh hoạt</t>
  </si>
  <si>
    <t xml:space="preserve">Thị giác (phân loại) + vận động tay</t>
  </si>
  <si>
    <t xml:space="preserve">Đóng vai "Đèn đỏ - đèn xanh" nhận biết dấu hiệu dừng/đi</t>
  </si>
  <si>
    <t xml:space="preserve">Thị giác (màu) + thính giác (hiệu lệnh)</t>
  </si>
  <si>
    <t xml:space="preserve">Dán hình mặt cười/mặt buồn ở nơi an toàn/nguy hiểm quanh lớp để trẻ quan sát</t>
  </si>
  <si>
    <t xml:space="preserve">Khám phá giác quan/Sinh hoạt</t>
  </si>
  <si>
    <t xml:space="preserve">Quan sát hằng ngày</t>
  </si>
  <si>
    <t xml:space="preserve">Thị giác (ký hiệu cảnh báo)</t>
  </si>
  <si>
    <t xml:space="preserve">HOẠT ĐỘNG BỔ SUNG THEO MÃ — LĨNH VỰC TX (TÌNH CẢM – XÃ HỘI), ngắn – nhẹ – chơi/trải nghiệm – đa giác quan</t>
  </si>
  <si>
    <t xml:space="preserve">Soi gương "Ai đây nhỉ?" — chỉ vào gương gọi tên bé</t>
  </si>
  <si>
    <t xml:space="preserve">Thị giác (gương) + thính giác (tên gọi)</t>
  </si>
  <si>
    <t xml:space="preserve">Kể chuyện tranh "Bé muốn gì?" đoán nhu cầu qua hình</t>
  </si>
  <si>
    <t xml:space="preserve">Giao tiếp/Chơi</t>
  </si>
  <si>
    <t xml:space="preserve">Trò chơi chọn đồ chơi yêu thích trong 2 lựa chọn</t>
  </si>
  <si>
    <t xml:space="preserve">Chơi</t>
  </si>
  <si>
    <t xml:space="preserve">Thị giác + vận động tay chọn</t>
  </si>
  <si>
    <t xml:space="preserve">Bài hát "Mặt cười - mặt buồn" kèm mặt nạ giấy cảm xúc</t>
  </si>
  <si>
    <t xml:space="preserve">Chơi/Giao tiếp</t>
  </si>
  <si>
    <t xml:space="preserve">Thị giác (mặt nạ) + thính giác (nhạc)</t>
  </si>
  <si>
    <t xml:space="preserve">Trò chơi gương mặt "Bắt chước cô" trước gương</t>
  </si>
  <si>
    <t xml:space="preserve">Thị giác + vận động cơ mặt</t>
  </si>
  <si>
    <t xml:space="preserve">Trò chơi "Dừng lại" theo hiệu lệnh nhạc (nhạc dừng - trẻ đứng im)</t>
  </si>
  <si>
    <t xml:space="preserve">Thính giác (nhạc) + kiểm soát vận động</t>
  </si>
  <si>
    <t xml:space="preserve">Album ảnh gia đình — chỉ và gọi "đây là ai của con"</t>
  </si>
  <si>
    <t xml:space="preserve">Thị giác (ảnh) + ngôn ngữ</t>
  </si>
  <si>
    <t xml:space="preserve">Trò chuyện "Tên con là gì?" kèm thẻ tên có ảnh</t>
  </si>
  <si>
    <t xml:space="preserve">Giao tiếp/Sinh hoạt</t>
  </si>
  <si>
    <t xml:space="preserve">Thị giác (thẻ tên) + ngôn ngữ</t>
  </si>
  <si>
    <t xml:space="preserve">Điểm danh buổi sáng gọi tên từng bạn kèm vỗ tay</t>
  </si>
  <si>
    <t xml:space="preserve">Sinh hoạt/Giao tiếp</t>
  </si>
  <si>
    <t xml:space="preserve">Thính giác (tên gọi) + vận động (vỗ tay)</t>
  </si>
  <si>
    <t xml:space="preserve">Trò chơi chào hỏi "Xin chào bạn mới" khi đón trẻ</t>
  </si>
  <si>
    <t xml:space="preserve">Thị giác + vận động (vẫy tay)</t>
  </si>
  <si>
    <t xml:space="preserve">Góc chơi "Yêu cầu bằng lời" — luyện nói câu ngắn xin đồ chơi</t>
  </si>
  <si>
    <t xml:space="preserve">Ngôn ngữ + giao tiếp xã hội</t>
  </si>
  <si>
    <t xml:space="preserve">Trò chơi "Giúp bạn nhặt đồ rơi" theo cặp</t>
  </si>
  <si>
    <t xml:space="preserve">Vận động tay + hợp tác</t>
  </si>
  <si>
    <t xml:space="preserve">Xem tranh biểu cảm, đoán "bạn đang thấy thế nào?"</t>
  </si>
  <si>
    <t xml:space="preserve">Thị giác (tranh) + ngôn ngữ cảm xúc</t>
  </si>
  <si>
    <t xml:space="preserve">Làm thiệp "Tặng cô/bạn" bằng dán giấy màu đơn giản</t>
  </si>
  <si>
    <t xml:space="preserve">Chơi/Nghệ thuật</t>
  </si>
  <si>
    <t xml:space="preserve">10 phút</t>
  </si>
  <si>
    <t xml:space="preserve">Xúc giác (giấy) + thị giác (màu sắc)</t>
  </si>
  <si>
    <t xml:space="preserve">Trò chơi "Chạm nhẹ - chạm êm" luyện chạm bạn nhẹ nhàng</t>
  </si>
  <si>
    <t xml:space="preserve">Xúc giác + kiểm soát lực tay</t>
  </si>
  <si>
    <t xml:space="preserve">Chơi cát/nước cạnh nhau với dụng cụ riêng mỗi bé</t>
  </si>
  <si>
    <t xml:space="preserve">Xúc giác (cát/nước) + chơi song song</t>
  </si>
  <si>
    <t xml:space="preserve">Bài học "Nhờ cô giúp" — luyện câu "cô ơi giúp con"</t>
  </si>
  <si>
    <t xml:space="preserve">Ngôn ngữ + tình huống thực tế</t>
  </si>
  <si>
    <t xml:space="preserve">Trò chơi đóng vai "Chào khách đến thăm lớp"</t>
  </si>
  <si>
    <t xml:space="preserve">Thị giác + ngôn ngữ + vận động</t>
  </si>
  <si>
    <t xml:space="preserve">Bài hát "Xếp hàng ngay ngắn" khi chuyển hoạt động</t>
  </si>
  <si>
    <t xml:space="preserve">Sinh hoạt/Chơi</t>
  </si>
  <si>
    <t xml:space="preserve">Thính giác (nhạc) + vận động</t>
  </si>
  <si>
    <t xml:space="preserve">Trò chơi "Về đúng nhà" cất đồ chơi theo hình dán trên rổ</t>
  </si>
  <si>
    <t xml:space="preserve">Thị giác (phân loại hình) + vận động tay</t>
  </si>
  <si>
    <t xml:space="preserve">Góc thiên nhiên — tưới cây, cho cá ăn cùng cô mỗi sáng</t>
  </si>
  <si>
    <t xml:space="preserve">Xúc giác (nước, đất) + khứu giác (cây)</t>
  </si>
  <si>
    <t xml:space="preserve">Trò chơi "Nhặt rác giúp cô" trong sân chơi</t>
  </si>
  <si>
    <t xml:space="preserve">Thị giác + vận động + ý thức môi trường</t>
  </si>
  <si>
    <t xml:space="preserve">HOẠT ĐỘNG BỔ SUNG THEO MÃ — LĨNH VỰC NN (NGÔN NGỮ), ngắn – nhẹ – chơi/trải nghiệm – đa giác quan</t>
  </si>
  <si>
    <t xml:space="preserve">Trò chơi "Làm theo lời cô" — 1 hiệu lệnh đơn giản (đứng lên, ngồi xuống)</t>
  </si>
  <si>
    <t xml:space="preserve">Thính giác + vận động toàn thân</t>
  </si>
  <si>
    <t xml:space="preserve">Hỏi-đáp nhanh trong giờ ăn: "Con đang ăn gì?"</t>
  </si>
  <si>
    <t xml:space="preserve">Giao tiếp/Nuôi dưỡng</t>
  </si>
  <si>
    <t xml:space="preserve">Ngôn ngữ + vị giác</t>
  </si>
  <si>
    <t xml:space="preserve">Trò chơi gọi tên đồ vật quen thuộc qua hộp bí mật (sờ đoán tên)</t>
  </si>
  <si>
    <t xml:space="preserve">Xúc giác + ngôn ngữ</t>
  </si>
  <si>
    <t xml:space="preserve">Góc chơi "Con muốn..." luyện nói câu ngắn xin đồ chơi/đồ ăn</t>
  </si>
  <si>
    <t xml:space="preserve">Hộp khám phá "Cái gì đây?" mở hộp đoán vật bên trong</t>
  </si>
  <si>
    <t xml:space="preserve">Khám phá giác quan/Chơi</t>
  </si>
  <si>
    <t xml:space="preserve">Thị giác + xúc giác + ngôn ngữ</t>
  </si>
  <si>
    <t xml:space="preserve">Trò chơi đóng vai cảm xúc — nói + làm điệu bộ (vui, buồn, ngạc nhiên)</t>
  </si>
  <si>
    <t xml:space="preserve">Thị giác + vận động cơ mặt + ngôn ngữ</t>
  </si>
  <si>
    <t xml:space="preserve">Bài hát "Chào - Cảm ơn - Xin lỗi" kèm cử chỉ minh họa</t>
  </si>
  <si>
    <t xml:space="preserve">Thính giác + vận động tay</t>
  </si>
  <si>
    <t xml:space="preserve">Kể chuyện tranh lớn "Chuyện của Gấu con" — chỉ tranh mô tả hành động</t>
  </si>
  <si>
    <t xml:space="preserve">5-8 phút</t>
  </si>
  <si>
    <t xml:space="preserve">Đọc thơ ngắn có vần điệu, vỗ tay theo nhịp</t>
  </si>
  <si>
    <t xml:space="preserve">Thính giác (nhịp) + ngôn ngữ</t>
  </si>
  <si>
    <t xml:space="preserve">Góc sách mở — sách vải/bìa cứng hình to để trẻ tự lật</t>
  </si>
  <si>
    <t xml:space="preserve">Tự do</t>
  </si>
  <si>
    <t xml:space="preserve">Xúc giác (chất liệu sách) + thị giác</t>
  </si>
  <si>
    <t xml:space="preserve">Giờ đọc sách buổi chiều với giọng đọc diễn cảm, âm thanh minh họa</t>
  </si>
  <si>
    <t xml:space="preserve">Thính giác + thị giác</t>
  </si>
  <si>
    <t xml:space="preserve">Trò chơi "Tìm chữ - tìm hình" trong sách tranh lớn</t>
  </si>
  <si>
    <t xml:space="preserve">Thị giác + vận động tay chỉ</t>
  </si>
  <si>
    <t xml:space="preserve">Vẽ tự do bằng sáp màu to trên giấy khổ lớn dán tường</t>
  </si>
  <si>
    <t xml:space="preserve">Xúc giác (cầm bút) + thị giác (màu)</t>
  </si>
  <si>
    <t xml:space="preserve">Vẽ nguệch ngoạc trên bảng từ/cát khay để dễ xóa làm lại</t>
  </si>
  <si>
    <t xml:space="preserve">Xúc giác (cát/bảng) + vận động tay</t>
  </si>
  <si>
    <t xml:space="preserve">HOẠT ĐỘNG BỔ SUNG THEO MÃ — LĨNH VỰC NT (NHẬN THỨC), ngắn – nhẹ – chơi/trải nghiệm – đa giác quan</t>
  </si>
  <si>
    <t xml:space="preserve">Hộp bí ẩn "Hôm nay có gì mới?" — vật lạ để trẻ khám phá</t>
  </si>
  <si>
    <t xml:space="preserve">Thị giác + xúc giác + tò mò</t>
  </si>
  <si>
    <t xml:space="preserve">Góc cảm giác: khay cát – nước – hạt để sờ, đổ, xúc</t>
  </si>
  <si>
    <t xml:space="preserve">Xúc giác + thị giác</t>
  </si>
  <si>
    <t xml:space="preserve">Trò chơi "Làm lại như cô" — lắc chuông, gõ trống nhiều lần</t>
  </si>
  <si>
    <t xml:space="preserve">Hộp có nắp khó mở — trẻ thử nhiều cách mở (xoay, kéo, đẩy)</t>
  </si>
  <si>
    <t xml:space="preserve">Xúc giác + vận động tay + giải quyết vấn đề</t>
  </si>
  <si>
    <t xml:space="preserve">Trò chơi "Đây là gì, có gì đặc biệt?" với đồ vật quen thuộc</t>
  </si>
  <si>
    <t xml:space="preserve">Thị giác + ngôn ngữ</t>
  </si>
  <si>
    <t xml:space="preserve">Xếp hình theo kích thước to-nhỏ vào đúng khay</t>
  </si>
  <si>
    <t xml:space="preserve">Thị giác + vận động tay phân loại</t>
  </si>
  <si>
    <t xml:space="preserve">Trò chơi "Tìm hình tròn quanh lớp" (đĩa, bóng, nắp hộp)</t>
  </si>
  <si>
    <t xml:space="preserve">Thị giác + vận động di chuyển</t>
  </si>
  <si>
    <t xml:space="preserve">Góc "Đồ dùng của ai?" ghép đồ vật với công dụng qua tranh</t>
  </si>
  <si>
    <t xml:space="preserve">So sánh ảnh "trước và sau" của cây/con vật quen thuộc</t>
  </si>
  <si>
    <t xml:space="preserve">Khám phá giác quan/Giao tiếp</t>
  </si>
  <si>
    <t xml:space="preserve">Thị giác + ngôn ngữ quan sát</t>
  </si>
  <si>
    <t xml:space="preserve">Trò chơi "Chọn đúng" — 2 đồ vật khác biệt rõ, chọn theo yêu cầu</t>
  </si>
  <si>
    <t xml:space="preserve">Thị giác + vận động tay</t>
  </si>
  <si>
    <t xml:space="preserve">Phân loại đồ chơi theo màu vào rổ tương ứng màu</t>
  </si>
  <si>
    <t xml:space="preserve">Thị giác (màu sắc) + vận động tay</t>
  </si>
  <si>
    <t xml:space="preserve">Trò chơi vận động "Trên - dưới, trong - ngoài" theo hiệu lệnh</t>
  </si>
  <si>
    <t xml:space="preserve">Thính giác + vận động không gian</t>
  </si>
  <si>
    <t xml:space="preserve">Tình huống giả định "Trời lạnh, con làm gì?" — chọn áo ấm</t>
  </si>
  <si>
    <t xml:space="preserve">Xúc giác (áo) + tư duy tình huống</t>
  </si>
  <si>
    <t xml:space="preserve">Trò chơi xếp tháp khối — thử lại khi tháp đổ</t>
  </si>
  <si>
    <t xml:space="preserve">Xúc giác + thị giác + kiên trì</t>
  </si>
  <si>
    <t xml:space="preserve">Góc đóng vai "Nấu ăn" dùng đúng đồ chơi theo chức năng</t>
  </si>
  <si>
    <t xml:space="preserve">Xúc giác + tư duy chức năng</t>
  </si>
  <si>
    <t xml:space="preserve">Trò chơi "Nguy hiểm - An toàn" phân loại tranh hành động</t>
  </si>
  <si>
    <t xml:space="preserve">Thị giác + tư duy an toàn</t>
  </si>
  <si>
    <t xml:space="preserve">HOẠT ĐỘNG BỔ SUNG THEO MÃ — LĨNH VỰC NgT (NGHỆ THUẬT), ngắn – nhẹ – chơi/trải nghiệm – đa giác quan</t>
  </si>
  <si>
    <t xml:space="preserve">Dạo chơi ngắm hoa/nghe chim hót ở sân trường, reo cùng cô "đẹp quá!"</t>
  </si>
  <si>
    <t xml:space="preserve">Thị giác + thính giác + cảm xúc</t>
  </si>
  <si>
    <t xml:space="preserve">Nghe nhạc êm dịu giờ nghỉ trưa, quan sát phản ứng của trẻ</t>
  </si>
  <si>
    <t xml:space="preserve">Thính giác</t>
  </si>
  <si>
    <t xml:space="preserve">Hát cùng cô bài hát ngắn quen thuộc có động tác minh họa</t>
  </si>
  <si>
    <t xml:space="preserve">Thính giác + ngôn ngữ</t>
  </si>
  <si>
    <t xml:space="preserve">Nhảy tự do theo nhạc vui trong giờ vận động giữa buổi</t>
  </si>
  <si>
    <t xml:space="preserve">Góc nhạc cụ tự chế (chai hạt, lon gõ) để trẻ tự khám phá âm thanh</t>
  </si>
  <si>
    <t xml:space="preserve">Thính giác + xúc giác</t>
  </si>
  <si>
    <t xml:space="preserve">Buổi biểu diễn nhỏ cuối tuần — trẻ hát/múa cùng cô trước lớp</t>
  </si>
  <si>
    <t xml:space="preserve">Thị giác + thính giác + tự tin</t>
  </si>
  <si>
    <t xml:space="preserve">Khám phá rổ vật liệu tạo hình (giấy, đất nặn, lá cây khô)</t>
  </si>
  <si>
    <t xml:space="preserve">In dấu tay/dấu chân bằng màu nước lên giấy khổ lớn</t>
  </si>
  <si>
    <t xml:space="preserve">Xúc giác (màu) + thị giác</t>
  </si>
  <si>
    <t xml:space="preserve">Trưng bày sản phẩm lên "góc triển lãm của bé", hỏi "con vẽ gì đây?"</t>
  </si>
  <si>
    <t xml:space="preserve">Giao tiếp/Nghệ thuật</t>
  </si>
  <si>
    <t xml:space="preserve">Góc đóng vai "Gia đình nhỏ" — bế búp bê, cho ăn, ru ngủ</t>
  </si>
  <si>
    <t xml:space="preserve">Xúc giác (búp bê) + vận động + cảm xúc</t>
  </si>
  <si>
    <t xml:space="preserve">Kịch rối tay ngắn "Ba chú heo con" — trẻ bắt chước tiếng kêu</t>
  </si>
  <si>
    <t xml:space="preserve">Thính giác + thị giác + ngôn ngữ</t>
  </si>
  <si>
    <t xml:space="preserve">CHECKLIST TRIỂN KHAI HOẠT ĐỘNG STEAM/SEL – DÀNH CHO GIÁO VIÊN</t>
  </si>
  <si>
    <t xml:space="preserve">Trường: ……… | Lớp: ……… | GV: ……… | Hoạt động: ……… | Ngày: ………</t>
  </si>
  <si>
    <t xml:space="preserve">  TRƯỚC HOẠT ĐỘNG</t>
  </si>
  <si>
    <t xml:space="preserve">Xác định rõ: hoạt động này phát triển năng lực nào (không chỉ STEAM)</t>
  </si>
  <si>
    <t xml:space="preserve">□ Đã làm
□ Cần cải thiện</t>
  </si>
  <si>
    <t xml:space="preserve">Chuẩn bị nguyên vật liệu đủ, đa dạng, phù hợp độ tuổi</t>
  </si>
  <si>
    <t xml:space="preserve">Kiểm tra an toàn: không sắc nhọn, không quá nhỏ, không độc hại</t>
  </si>
  <si>
    <t xml:space="preserve">Sắp xếp môi trường TRƯỚC KHI trẻ vào (không mất thời gian trong giờ)</t>
  </si>
  <si>
    <t xml:space="preserve">Chuẩn bị câu hỏi gợi mở (KHÔNG chuẩn bị đáp án trước)</t>
  </si>
  <si>
    <t xml:space="preserve">Dự kiến tình huống vấn đề trẻ sẽ gặp → chuẩn bị 'không làm thay'</t>
  </si>
  <si>
    <t xml:space="preserve">Thông báo cho phụ huynh nếu cần mang vật liệu từ nhà</t>
  </si>
  <si>
    <t xml:space="preserve">  TRONG HOẠT ĐỘNG</t>
  </si>
  <si>
    <t xml:space="preserve">Để trẻ TỰ KHÁM PHÁ ít nhất 5 phút trước khi can thiệp</t>
  </si>
  <si>
    <t xml:space="preserve">Quan sát và GHI CHÉP hành vi, câu nói của trẻ</t>
  </si>
  <si>
    <t xml:space="preserve">Dùng câu hỏi mở: 'Con nghĩ sao?', 'Thử cách khác được không?'</t>
  </si>
  <si>
    <t xml:space="preserve">KHÔNG làm thay, KHÔNG sửa sản phẩm của trẻ</t>
  </si>
  <si>
    <t xml:space="preserve">Hỗ trợ cá nhân hóa: trẻ yếu cần gợi ý thêm; trẻ nổi trội cần thách thức thêm</t>
  </si>
  <si>
    <t xml:space="preserve">Tạo cơ hội SEL: 'Bạn cần giúp gì không?', 'Cảm ơn bạn đã chia sẻ'</t>
  </si>
  <si>
    <t xml:space="preserve">Ghi lại câu hỏi hay trẻ đặt ra (nguyên văn)</t>
  </si>
  <si>
    <t xml:space="preserve">Chụp ảnh / quay video ghi lại tiến trình (không chỉ sản phẩm cuối)</t>
  </si>
  <si>
    <t xml:space="preserve">  SAU HOẠT ĐỘNG – CHIA SẺ</t>
  </si>
  <si>
    <t xml:space="preserve">Để trẻ tự chia sẻ: 'Con đã làm gì?', không nói hộ</t>
  </si>
  <si>
    <t xml:space="preserve">Trưng bày sản phẩm đẹp, có ghi tên trẻ và 'câu chuyện' của sản phẩm</t>
  </si>
  <si>
    <t xml:space="preserve">Hỏi: 'Lần sau con muốn thử gì khác?'</t>
  </si>
  <si>
    <t xml:space="preserve">Phản hồi tích cực theo hành vi cụ thể: không chỉ 'giỏi lắm'</t>
  </si>
  <si>
    <t xml:space="preserve">Kết nối với gia đình: ảnh/video, thông tin về điều trẻ học được</t>
  </si>
  <si>
    <t xml:space="preserve">  ĐÁNH GIÁ &amp; HỒ SƠ</t>
  </si>
  <si>
    <t xml:space="preserve">Ghi checklist NL trẻ đã biểu hiện (I/H/V) vào bảng kiểm lớp</t>
  </si>
  <si>
    <t xml:space="preserve">Bổ sung minh chứng vào hồ sơ cá nhân trẻ</t>
  </si>
  <si>
    <t xml:space="preserve">Ghi bài học kinh nghiệm: hoạt động nào hiệu quả / cần điều chỉnh</t>
  </si>
  <si>
    <t xml:space="preserve">Lên kế hoạch hoạt động tiếp nối / mở rộng cho tuần sau</t>
  </si>
  <si>
    <t xml:space="preserve">Chia sẻ trong SHCM tháng: câu chuyện STEAM/SEL hay nhất tuần</t>
  </si>
  <si>
    <t xml:space="preserve">Ghi chú tổng kết:</t>
  </si>
  <si>
    <t xml:space="preserve">GIÁO DỤC LỒNG GHÉP TRONG CHẾ ĐỘ SINH HOẠT HẰNG NGÀY</t>
  </si>
  <si>
    <t xml:space="preserve">Mỗi thời điểm sinh hoạt (đón trẻ, ăn, ngủ, vệ sinh, chơi, trả trẻ) đều là cơ hội giáo dục — KHÔNG tách rời "giờ học" và "giờ chăm sóc". Đây là minh chứng tích hợp chăm sóc–nuôi dưỡng–giáo dục theo QĐ 388.</t>
  </si>
  <si>
    <t xml:space="preserve">Thời điểm sinh hoạt</t>
  </si>
  <si>
    <t xml:space="preserve">Giáo dục lồng ghép (gợi ý)</t>
  </si>
  <si>
    <t xml:space="preserve">Mã năng lực liên quan</t>
  </si>
  <si>
    <t xml:space="preserve">Lưu ý an toàn/chăm sóc</t>
  </si>
  <si>
    <t xml:space="preserve">Đón trẻ</t>
  </si>
  <si>
    <t xml:space="preserve">Chào hỏi, gọi tên bạn/cô; cùng cất đồ dùng vào đúng chỗ; trò chuyện về cảm xúc sáng nay.</t>
  </si>
  <si>
    <t xml:space="preserve">TX1, NN1, TC7 (Tự phục vụ)</t>
  </si>
  <si>
    <t xml:space="preserve">Quan sát sức khỏe, tâm trạng trẻ khi mới đến lớp; trấn an trẻ khóc nhè nhẹ nhàng.</t>
  </si>
  <si>
    <t xml:space="preserve">Giờ ăn</t>
  </si>
  <si>
    <t xml:space="preserve">Gọi tên món ăn, màu sắc, mùi vị; tự xúc ăn theo khả năng; mời cô/bạn trước khi ăn.</t>
  </si>
  <si>
    <t xml:space="preserve">TC5 (ăn uống), NN2 (vốn từ), TX3 (thói quen tốt)</t>
  </si>
  <si>
    <t xml:space="preserve">Đảm bảo tư thế ngồi an toàn, theo dõi dị ứng thực phẩm, không ép ăn.</t>
  </si>
  <si>
    <t xml:space="preserve">Giờ ngủ</t>
  </si>
  <si>
    <t xml:space="preserve">Nghe nhạc êm dịu, tự lấy gối/chăn (trẻ lớn hơn), rèn thói quen giờ giấc.</t>
  </si>
  <si>
    <t xml:space="preserve">TC5 (ngủ), TX2 (tự điều chỉnh cảm xúc)</t>
  </si>
  <si>
    <t xml:space="preserve">Theo dõi giấc ngủ từng trẻ, không ép ngủ nếu trẻ chưa buồn ngủ.</t>
  </si>
  <si>
    <t xml:space="preserve">Vệ sinh cá nhân</t>
  </si>
  <si>
    <t xml:space="preserve">Rửa tay đúng bước, gọi tên bộ phận cơ thể, tự đi vệ sinh theo khả năng.</t>
  </si>
  <si>
    <t xml:space="preserve">TC6 (vệ sinh-an toàn), NT (nhận biết cơ thể)</t>
  </si>
  <si>
    <t xml:space="preserve">Đảm bảo riêng tư, kiên nhẫn với trẻ chưa tự chủ, không tạo áp lực.</t>
  </si>
  <si>
    <t xml:space="preserve">Giờ chơi tự do</t>
  </si>
  <si>
    <t xml:space="preserve">Chơi cùng bạn, chia sẻ đồ chơi, khám phá góc chơi theo hứng thú.</t>
  </si>
  <si>
    <t xml:space="preserve">TX4 (hợp tác), NT (khám phá), NgT (sáng tạo)</t>
  </si>
  <si>
    <t xml:space="preserve">Giám sát an toàn đồ chơi, can thiệp nhẹ khi có tranh giành.</t>
  </si>
  <si>
    <t xml:space="preserve">Trả trẻ</t>
  </si>
  <si>
    <t xml:space="preserve">Chào tạm biệt, kể lại 1 điều vui trong ngày cho người thân, tự lấy đồ dùng cá nhân.</t>
  </si>
  <si>
    <t xml:space="preserve">NN3 (kể chuyện), TC7 (tự phục vụ)</t>
  </si>
  <si>
    <t xml:space="preserve">Trao đổi nhanh với phụ huynh về tình hình trong ngày nếu cần.</t>
  </si>
  <si>
    <t xml:space="preserve">NGÂN HÀNG HỌC LIỆU MỞ – STEAM/SEL – ƯU TIÊN NGUYÊN VẬT LIỆU TỰ NHIÊN &amp; TÁI CHẾ</t>
  </si>
  <si>
    <t xml:space="preserve">  VẬT LIỆU TỰ NHIÊN</t>
  </si>
  <si>
    <t xml:space="preserve">Đất, cát, sỏi, đá cuội</t>
  </si>
  <si>
    <t xml:space="preserve">Khám phá giác quan, xây dựng, tạo hình</t>
  </si>
  <si>
    <t xml:space="preserve">Tất cả</t>
  </si>
  <si>
    <t xml:space="preserve">Rửa sạch, phơi khô</t>
  </si>
  <si>
    <t xml:space="preserve">NT, TC, NgT</t>
  </si>
  <si>
    <t xml:space="preserve">Lá cây, hoa, hạt, vỏ cây</t>
  </si>
  <si>
    <t xml:space="preserve">In hình, trang trí, khám phá thiên nhiên</t>
  </si>
  <si>
    <t xml:space="preserve">Tươi/khô đều dùng được</t>
  </si>
  <si>
    <t xml:space="preserve">Nước, băng đá, hơi nước</t>
  </si>
  <si>
    <t xml:space="preserve">Thí nghiệm trạng thái, làm lạnh, đun nóng</t>
  </si>
  <si>
    <t xml:space="preserve">3T+</t>
  </si>
  <si>
    <t xml:space="preserve">GV giám sát khi dùng nhiệt</t>
  </si>
  <si>
    <t xml:space="preserve">Hạt giống: đậu, hướng dương, rau</t>
  </si>
  <si>
    <t xml:space="preserve">Gieo hạt, quan sát nảy mầm, nhật ký KH</t>
  </si>
  <si>
    <t xml:space="preserve">Không ăn hạt chưa nấu</t>
  </si>
  <si>
    <t xml:space="preserve">NT, TX</t>
  </si>
  <si>
    <t xml:space="preserve">Côn trùng nhỏ: sâu, sên, kiến</t>
  </si>
  <si>
    <t xml:space="preserve">Quan sát, phân loại, nhật ký KH</t>
  </si>
  <si>
    <t xml:space="preserve">Rửa tay sau khi chạm</t>
  </si>
  <si>
    <t xml:space="preserve">NT</t>
  </si>
  <si>
    <t xml:space="preserve">  VẬT LIỆU TÁI CHẾ</t>
  </si>
  <si>
    <t xml:space="preserve">Hộp carton, bìa cứng</t>
  </si>
  <si>
    <t xml:space="preserve">Xây dựng, thiết kế mô hình, tạo hình 3D</t>
  </si>
  <si>
    <t xml:space="preserve">Loại bỏ kẹp ghim, mực độc</t>
  </si>
  <si>
    <t xml:space="preserve">Chai nhựa, nắp chai</t>
  </si>
  <si>
    <t xml:space="preserve">Đựng nước, kèn thổi, nhạc cụ, phân loại</t>
  </si>
  <si>
    <t xml:space="preserve">Làm sạch kỹ trước khi dùng</t>
  </si>
  <si>
    <t xml:space="preserve">Ống hút, que kem, tăm bông</t>
  </si>
  <si>
    <t xml:space="preserve">Xây dựng kết cấu, đo lường, nghệ thuật</t>
  </si>
  <si>
    <t xml:space="preserve">Không dùng ống hút nhỏ nhà trẻ</t>
  </si>
  <si>
    <t xml:space="preserve">Vải vụn, sợi len, khuy áo</t>
  </si>
  <si>
    <t xml:space="preserve">Tạo hình nhân vật, may đơn giản, phân loại</t>
  </si>
  <si>
    <t xml:space="preserve">Không len dài cho nhà trẻ</t>
  </si>
  <si>
    <t xml:space="preserve">Báo/tạp chí cũ</t>
  </si>
  <si>
    <t xml:space="preserve">Xé dán, cuộn, làm giấy bồi, đọc ảnh</t>
  </si>
  <si>
    <t xml:space="preserve">Mực đã khô, không ẩm mốc</t>
  </si>
  <si>
    <t xml:space="preserve">NgT, NN</t>
  </si>
  <si>
    <t xml:space="preserve">  DỤNG CỤ KHOA HỌC ĐƠN GIẢN</t>
  </si>
  <si>
    <t xml:space="preserve">Kính lúp nhựa</t>
  </si>
  <si>
    <t xml:space="preserve">Quan sát chi tiết côn trùng, lá cây, hạt</t>
  </si>
  <si>
    <t xml:space="preserve">Không để dưới ánh nắng lâu</t>
  </si>
  <si>
    <t xml:space="preserve">Nam châm nhỏ</t>
  </si>
  <si>
    <t xml:space="preserve">Thí nghiệm vật liệu từ tính/không từ tính</t>
  </si>
  <si>
    <t xml:space="preserve">4T+</t>
  </si>
  <si>
    <t xml:space="preserve">Giữ xa trẻ có máy trợ tim</t>
  </si>
  <si>
    <t xml:space="preserve">Cân đĩa nhỏ</t>
  </si>
  <si>
    <t xml:space="preserve">So sánh nặng/nhẹ; đong nguyên liệu</t>
  </si>
  <si>
    <t xml:space="preserve">Kiểm tra định kỳ</t>
  </si>
  <si>
    <t xml:space="preserve">NT, M</t>
  </si>
  <si>
    <t xml:space="preserve">Thước dây vải</t>
  </si>
  <si>
    <t xml:space="preserve">Đo chiều cao cây, kích thước vật</t>
  </si>
  <si>
    <t xml:space="preserve">An toàn hơn thước cứng</t>
  </si>
  <si>
    <t xml:space="preserve">M, NT</t>
  </si>
  <si>
    <t xml:space="preserve">Màu nước thực phẩm</t>
  </si>
  <si>
    <t xml:space="preserve">Trộn màu, thí nghiệm hòa tan, nhuộm</t>
  </si>
  <si>
    <t xml:space="preserve">Màu thực phẩm an toàn</t>
  </si>
  <si>
    <t xml:space="preserve">  HỌC LIỆU SEL CHUYÊN BIỆT</t>
  </si>
  <si>
    <t xml:space="preserve">Thẻ cảm xúc (in màu, bọc nhựa)</t>
  </si>
  <si>
    <t xml:space="preserve">Nhận biết, gọi tên, điều chỉnh cảm xúc</t>
  </si>
  <si>
    <t xml:space="preserve">Đủ số lượng cho cả lớp</t>
  </si>
  <si>
    <t xml:space="preserve">TX</t>
  </si>
  <si>
    <t xml:space="preserve">Bóng bóp/đất nặn mềm</t>
  </si>
  <si>
    <t xml:space="preserve">Giải tỏa căng thẳng, tự điều chỉnh</t>
  </si>
  <si>
    <t xml:space="preserve">Thay thế khi bẩn/mòn</t>
  </si>
  <si>
    <t xml:space="preserve">Gương nhỏ (nhựa an toàn)</t>
  </si>
  <si>
    <t xml:space="preserve">Quan sát biểu cảm, nhận biết bản thân</t>
  </si>
  <si>
    <t xml:space="preserve">Gương nhựa, không vỡ</t>
  </si>
  <si>
    <t xml:space="preserve">Sách truyện tranh về cảm xúc</t>
  </si>
  <si>
    <t xml:space="preserve">Đọc cùng, thảo luận, nhận diện tình huống</t>
  </si>
  <si>
    <t xml:space="preserve">Chọn nội dung phù hợp độ tuổi</t>
  </si>
  <si>
    <t xml:space="preserve">Puppet/búp bê cảm xúc</t>
  </si>
  <si>
    <t xml:space="preserve">Đóng vai, giải quyết tình huống xung đột</t>
  </si>
  <si>
    <t xml:space="preserve">2T+</t>
  </si>
  <si>
    <t xml:space="preserve">Vệ sinh định kỳ</t>
  </si>
  <si>
    <t xml:space="preserve">RUBRIC ĐÁNH GIÁ NĂNG LỰC NHÀ TRẺ 12–36 THÁNG (82 chỉ số)</t>
  </si>
  <si>
    <t xml:space="preserve">Áp dụng chung cho cả 2 nhóm tuổi 12–24 tháng và 24–36 tháng: mức I thường gặp ở giai đoạn đầu (khoảng 12–24 tháng), mức H ở giai đoạn chuyển tiếp, mức V khi đạt đúng YCCĐ 36 tháng (QĐ 388) — đây là KHOẢNG THAM KHẢO, không phải mốc bắt buộc theo tháng tuổi cụ thể.</t>
  </si>
  <si>
    <t xml:space="preserve">⚠ Trẻ nhà trẻ phát triển KHÔNG ĐỒNG ĐỀU giữa các trẻ và giữa các lĩnh vực — cần quan sát trong NHIỀU BỐI CẢNH khác nhau (giờ chơi, giờ ăn, giờ ngủ, giờ vệ sinh, giờ giao tiếp/vận động) trước khi kết luận mức độ. Không dùng rubric để so sánh, xếp loại hay gắn nhãn trẻ.</t>
  </si>
  <si>
    <t xml:space="preserve">Mã năng lực</t>
  </si>
  <si>
    <t xml:space="preserve">I – Khởi đầu</t>
  </si>
  <si>
    <t xml:space="preserve">H – Hình thành</t>
  </si>
  <si>
    <t xml:space="preserve">V – Vững chắc (đạt đích 36 tháng)</t>
  </si>
  <si>
    <t xml:space="preserve">Minh chứng quan sát</t>
  </si>
  <si>
    <t xml:space="preserve">Hỗ trợ tiếp theo</t>
  </si>
  <si>
    <t xml:space="preserve">Hỗ trợ tư thế; động viên mạnh dạn; đảm bảo an toàn; trẻ cơ còn chưa vững cho luyện nhẹ nhàng.</t>
  </si>
  <si>
    <t xml:space="preserve">Khích lệ tự phục vụ theo khả năng; phối hợp phụ huynh; trẻ cầm nắm chưa chắc tay cho dụng cụ phù hợp.</t>
  </si>
  <si>
    <t xml:space="preserve">PHIẾU ĐÁNH GIÁ PHÁT TRIỂN CÁ NHÂN TRẺ – NĂM HỌC 2026–2027</t>
  </si>
  <si>
    <t xml:space="preserve">Họ và tên trẻ:</t>
  </si>
  <si>
    <t xml:space="preserve">…………………………</t>
  </si>
  <si>
    <t xml:space="preserve">Ngày sinh:</t>
  </si>
  <si>
    <t xml:space="preserve">…………………</t>
  </si>
  <si>
    <t xml:space="preserve">Lớp / Nhóm:</t>
  </si>
  <si>
    <t xml:space="preserve">Độ tuổi:</t>
  </si>
  <si>
    <t xml:space="preserve">GV phụ trách:</t>
  </si>
  <si>
    <t xml:space="preserve">2026–2027</t>
  </si>
  <si>
    <t xml:space="preserve">Trẻ hòa nhập:</t>
  </si>
  <si>
    <t xml:space="preserve">□ Không  □ Có – Loại KT: ……………</t>
  </si>
  <si>
    <t xml:space="preserve">Số buổi/tuần:</t>
  </si>
  <si>
    <t xml:space="preserve">……… buổi</t>
  </si>
  <si>
    <t xml:space="preserve">BẢNG THEO DÕI TIẾN TRÌNH PHÁT TRIỂN</t>
  </si>
  <si>
    <t xml:space="preserve">STT</t>
  </si>
  <si>
    <t xml:space="preserve">Lĩnh vực / NL</t>
  </si>
  <si>
    <t xml:space="preserve">Chỉ số theo dõi</t>
  </si>
  <si>
    <t xml:space="preserve">T9
(I/H/V/X)</t>
  </si>
  <si>
    <t xml:space="preserve">T12
HK1</t>
  </si>
  <si>
    <t xml:space="preserve">T3
giữa HK2</t>
  </si>
  <si>
    <t xml:space="preserve">T5
cuối năm</t>
  </si>
  <si>
    <t xml:space="preserve">Nhận xét tiến bộ &amp; Kế hoạch hỗ trợ</t>
  </si>
  <si>
    <t xml:space="preserve">  5 NĂNG LỰC NỀN TẢNG</t>
  </si>
  <si>
    <t xml:space="preserve">NL1-GT</t>
  </si>
  <si>
    <t xml:space="preserve">Giao tiếp: nói rõ ràng, lắng nghe, trình bày ý kiến</t>
  </si>
  <si>
    <t xml:space="preserve">NL2-HT</t>
  </si>
  <si>
    <t xml:space="preserve">Hợp tác: chơi nhóm, chia sẻ, phân công</t>
  </si>
  <si>
    <t xml:space="preserve">NL3-GQ</t>
  </si>
  <si>
    <t xml:space="preserve">Giải quyết vấn đề: thử nhiều cách, không từ bỏ</t>
  </si>
  <si>
    <t xml:space="preserve">NL4-TA</t>
  </si>
  <si>
    <t xml:space="preserve">Thích ứng: linh hoạt khi thay đổi, phục hồi nhanh</t>
  </si>
  <si>
    <t xml:space="preserve">NL5-TL</t>
  </si>
  <si>
    <t xml:space="preserve">Tự lực: tự hoàn thành, tự lựa chọn, tự chịu trách nhiệm</t>
  </si>
  <si>
    <t xml:space="preserve">  4 PHẨM CHẤT CỐT LÕI</t>
  </si>
  <si>
    <t xml:space="preserve">PC1-YT</t>
  </si>
  <si>
    <t xml:space="preserve">Yêu thương: quan tâm, giúp đỡ, yêu môi trường</t>
  </si>
  <si>
    <t xml:space="preserve">PC2-TT</t>
  </si>
  <si>
    <t xml:space="preserve">Tôn trọng: lắng nghe, không ngắt lời, chấp nhận khác biệt</t>
  </si>
  <si>
    <t xml:space="preserve">PC3-TR</t>
  </si>
  <si>
    <t xml:space="preserve">Trung thực: nói thật, nhận lỗi, không lấy đồ bạn</t>
  </si>
  <si>
    <t xml:space="preserve">PC4-TN</t>
  </si>
  <si>
    <t xml:space="preserve">Trách nhiệm: hoàn thành việc được giao, giữ gìn</t>
  </si>
  <si>
    <t xml:space="preserve">  THỂ CHẤT</t>
  </si>
  <si>
    <t xml:space="preserve">TC1</t>
  </si>
  <si>
    <t xml:space="preserve">Vận động thô: đi/chạy/nhảy/ném/leo theo chuẩn độ tuổi</t>
  </si>
  <si>
    <t xml:space="preserve">TC2</t>
  </si>
  <si>
    <t xml:space="preserve">Vận động tinh: cầm bút, cắt, nặn theo chuẩn độ tuổi</t>
  </si>
  <si>
    <t xml:space="preserve">TC3</t>
  </si>
  <si>
    <t xml:space="preserve">Tự phục vụ: rửa tay, ăn, vệ sinh cá nhân, an toàn</t>
  </si>
  <si>
    <t xml:space="preserve">  TÌNH CẢM – XÃ HỘI</t>
  </si>
  <si>
    <t xml:space="preserve">TX1</t>
  </si>
  <si>
    <t xml:space="preserve">Nhận biết và điều chỉnh cảm xúc</t>
  </si>
  <si>
    <t xml:space="preserve">TX2</t>
  </si>
  <si>
    <t xml:space="preserve">Kỹ năng xã hội: làm quen, giải quyết xung đột, hòa nhập</t>
  </si>
  <si>
    <t xml:space="preserve">  NGÔN NGỮ</t>
  </si>
  <si>
    <t xml:space="preserve">NN1</t>
  </si>
  <si>
    <t xml:space="preserve">Nghe hiểu: lệnh nhiều bước, câu chuyện, hướng dẫn</t>
  </si>
  <si>
    <t xml:space="preserve">NN2</t>
  </si>
  <si>
    <t xml:space="preserve">Diễn đạt: câu đầy đủ, kể chuyện, trình bày ý kiến</t>
  </si>
  <si>
    <t xml:space="preserve">NN3</t>
  </si>
  <si>
    <t xml:space="preserve">Sẵn sàng đọc-viết: chữ cái, tách âm, viết tên</t>
  </si>
  <si>
    <t xml:space="preserve">  NHẬN THỨC</t>
  </si>
  <si>
    <t xml:space="preserve">NT1</t>
  </si>
  <si>
    <t xml:space="preserve">Khám phá KH: đặt câu hỏi, thí nghiệm, kết luận</t>
  </si>
  <si>
    <t xml:space="preserve">NT2</t>
  </si>
  <si>
    <t xml:space="preserve">Toán/logic: đếm, phân loại, hình học, không gian</t>
  </si>
  <si>
    <t xml:space="preserve">  NGHỆ THUẬT</t>
  </si>
  <si>
    <t xml:space="preserve">NgT1</t>
  </si>
  <si>
    <t xml:space="preserve">Cảm thụ: phản ứng với NT, mô tả vẻ đẹp</t>
  </si>
  <si>
    <t xml:space="preserve">NgT2</t>
  </si>
  <si>
    <t xml:space="preserve">Sáng tạo: tạo hình, âm nhạc, vận động sáng tạo</t>
  </si>
  <si>
    <t xml:space="preserve">TỔNG NHẬN XÉT CUỐI NĂM HỌC</t>
  </si>
  <si>
    <t xml:space="preserve">Điểm mạnh nổi bật:</t>
  </si>
  <si>
    <t xml:space="preserve">Điểm cần tiếp tục hỗ trợ:</t>
  </si>
  <si>
    <t xml:space="preserve">Khuyến nghị cho năm học sau:</t>
  </si>
  <si>
    <t xml:space="preserve">GV ký xác nhận:</t>
  </si>
  <si>
    <t xml:space="preserve">PHT CM ký duyệt:</t>
  </si>
  <si>
    <t xml:space="preserve">PORTFOLIO TRẺ — NHÀ TRẺ 12–36 THÁNG</t>
  </si>
  <si>
    <t xml:space="preserve">Lưu trữ minh chứng quá trình (ảnh/video/sản phẩm) xuyên suốt học kỳ — bổ sung cho Bảng kiểm lớp/Rubric, KHÔNG dùng để xếp loại hay so sánh trẻ. File thật lưu ngoài Excel (Google Drive/thư mục lớp), sheet này chỉ ghi chú vị trí.</t>
  </si>
  <si>
    <t xml:space="preserve">Quy ước thư mục: Portfolio_NhaTre/[Lớp]/[Tên trẻ]/[Tháng] | Quy ước tên file: [NgàyYYYYMMDD]_[Mã năng lực]_[Mô tả ngắn].jpg — VD: 20260915_TC5.2_TuXucAn.jpg</t>
  </si>
  <si>
    <t xml:space="preserve">Tên trẻ</t>
  </si>
  <si>
    <t xml:space="preserve">Tháng/Học kỳ</t>
  </si>
  <si>
    <t xml:space="preserve">Ngày</t>
  </si>
  <si>
    <t xml:space="preserve">Loại minh chứng</t>
  </si>
  <si>
    <t xml:space="preserve">Tên file/đường dẫn</t>
  </si>
  <si>
    <t xml:space="preserve">Mô tả/Câu nói của trẻ</t>
  </si>
  <si>
    <t xml:space="preserve">Nhận xét GV</t>
  </si>
  <si>
    <t xml:space="preserve">Đã chia sẻ phụ huynh?</t>
  </si>
  <si>
    <t xml:space="preserve">Ghi chú</t>
  </si>
  <si>
    <t xml:space="preserve">BẢNG KIỂM THEO DÕI PHÁT TRIỂN TOÀN LỚP – THÁNG ……… / CHHS ĐỀ TÀI: ………………</t>
  </si>
  <si>
    <t xml:space="preserve">Ký hiệu: I = Khởi đầu · H = Hình thành · V = Vững chắc · X = Chưa có cơ hội quan sát hoặc cần quan sát thêm (KHÔNG suy diễn, KHÔNG mặc định là mức I). Vùng nhập đánh giá: C5:P34 (chỉ 14 mã năng lực/phẩm chất/lĩnh vực). KHÔNG dùng bảng này để xếp loại hay so sánh trẻ. | Trường: ……… | Lớp: ……… | GV: ………</t>
  </si>
  <si>
    <t xml:space="preserve">Họ và tên</t>
  </si>
  <si>
    <t xml:space="preserve">GT
(Giao tiếp)</t>
  </si>
  <si>
    <t xml:space="preserve">HT
(Hợp tác)</t>
  </si>
  <si>
    <t xml:space="preserve">GQ
(Giải quyết VĐ)</t>
  </si>
  <si>
    <t xml:space="preserve">TA
(Thích ứng)</t>
  </si>
  <si>
    <t xml:space="preserve">TL
(Tự lực)</t>
  </si>
  <si>
    <t xml:space="preserve">PC-YT
(Yêu thương)</t>
  </si>
  <si>
    <t xml:space="preserve">PC-TT
(Tôn trọng)</t>
  </si>
  <si>
    <t xml:space="preserve">PC-TR
(Trách nhiệm)</t>
  </si>
  <si>
    <t xml:space="preserve">PC-TN
(Trung thực)</t>
  </si>
  <si>
    <t xml:space="preserve">TC
(Thể chất)</t>
  </si>
  <si>
    <t xml:space="preserve">TX
(T.cảm-XH)</t>
  </si>
  <si>
    <t xml:space="preserve">NN
(Ngôn ngữ)</t>
  </si>
  <si>
    <t xml:space="preserve">NT
(Nhận thức)</t>
  </si>
  <si>
    <t xml:space="preserve">NgT
(Nghệ thuật)</t>
  </si>
  <si>
    <t xml:space="preserve">Cần hỗ trợ đặc biệt</t>
  </si>
  <si>
    <t xml:space="preserve">Ghi chú GV</t>
  </si>
  <si>
    <t xml:space="preserve">Số mã
đã đánh giá</t>
  </si>
  <si>
    <t xml:space="preserve">Đề xuất hỗ trợ
tiếp theo</t>
  </si>
  <si>
    <t xml:space="preserve">Dòng cần
quan sát thêm</t>
  </si>
  <si>
    <t xml:space="preserve">SỐ TRẺ MỨC V (Vững chắc)</t>
  </si>
  <si>
    <t xml:space="preserve">SỐ TRẺ MỨC I (Khởi đầu)</t>
  </si>
  <si>
    <t xml:space="preserve">SỐ TRẺ MỨC H (Hình thành)</t>
  </si>
  <si>
    <t xml:space="preserve">SỐ TRẺ MỨC X (Chưa có cơ hội quan sát)</t>
  </si>
  <si>
    <t xml:space="preserve">⚠ Kết quả chỉ dùng để điều chỉnh chăm sóc – giáo dục, không dùng để xếp loại trẻ.</t>
  </si>
  <si>
    <t xml:space="preserve">HƯỚNG DẪN SỬ DỤNG VÀ CÔNG THỨC EXCEL</t>
  </si>
  <si>
    <t xml:space="preserve">1. Vùng nhập đánh giá chỉ nằm trong C5:P34 — đã giới hạn Data Validation (chỉ nhận I/H/V/X). Cột B (Họ và tên), Q (Cần hỗ trợ đặc biệt), R (Ghi chú GV) là văn bản tự do, KHÔNG phải vùng chấm điểm.</t>
  </si>
  <si>
    <t xml:space="preserve">2. Cột S "Số mã đã đánh giá" tính theo TỪNG TRẺ (hàng ngang): =COUNTA(C-P)-COUNTIF(C-P,"X") — loại trừ ô trống và ô X ra khỏi tổng đã đánh giá thực sự.</t>
  </si>
  <si>
    <t xml:space="preserve">3. Dòng 36–39 (SỐ TRẺ MỨC V/I/H/X) dùng COUNTIF theo CỘT (từng mã), chỉ quét vùng dữ liệu hàng 5–34 — KHÔNG quét cột Họ tên/Cần hỗ trợ/Ghi chú.</t>
  </si>
  <si>
    <t xml:space="preserve">4. Dòng tổng hợp dùng để biết mã nào cả lớp còn nhiều trẻ mức I — phục vụ điều chỉnh hoạt động chung, KHÔNG dùng để xếp loại hay so sánh trẻ.</t>
  </si>
  <si>
    <t xml:space="preserve">5. Khi nhân bản sheet này cho nhiều lớp, đặt tên liền kề (VD: 13. BẢNG KIỂM LỚP_A, 13. BẢNG KIỂM LỚP_B...) và nhân bản kèm sheet 17. DASHBOARD_LOP, sửa lại tham chiếu cho đúng lớp.</t>
  </si>
  <si>
    <t xml:space="preserve">6. Cột T "Đề xuất hỗ trợ tiếp theo" ghi tự do cho từng trẻ — dùng khi mã nào đó đang ở mức I/X để ghi hướng hỗ trợ cụ thể, không phải đánh giá thêm. Xem chi tiết cách dùng tại sheet "📖 HƯỚNG DẪN SỬ DỤNG"; xem tổng hợp toàn lớp tự động tại sheet "17. DASHBOARD_LOP".</t>
  </si>
  <si>
    <t xml:space="preserve">NHẬT KÝ QUAN SÁT – GHI CHÉP TÌNH HUỐNG THỰC TẾ</t>
  </si>
  <si>
    <t xml:space="preserve">Ghi chép NGAY khi quan sát – Mô tả HÀNH VI CỤ THỂ – Không nhận định cảm tính – Dùng làm minh chứng đánh giá</t>
  </si>
  <si>
    <t xml:space="preserve">Ngày/Giờ</t>
  </si>
  <si>
    <t xml:space="preserve">Mô tả hành vi quan sát được (nguyên văn, cụ thể)</t>
  </si>
  <si>
    <t xml:space="preserve">Năng lực / Phẩm chất liên quan</t>
  </si>
  <si>
    <t xml:space="preserve">Mức độ (I/H/V)</t>
  </si>
  <si>
    <t xml:space="preserve">Biện pháp hỗ trợ tiếp theo</t>
  </si>
  <si>
    <t xml:space="preserve">GV ghi chú</t>
  </si>
  <si>
    <t xml:space="preserve">⚠ 3 dòng ví dụ minh hoạ bên dưới — XOÁ và thay bằng ghi chép thật của lớp trước khi sử dụng.</t>
  </si>
  <si>
    <t xml:space="preserve">09/09/2026 9:30</t>
  </si>
  <si>
    <t xml:space="preserve">Nguyễn A</t>
  </si>
  <si>
    <t xml:space="preserve">Khi cô thông báo hôm nay không có giờ vẽ, A đứng khóc và hét 'Con không thích!'. Sau 2 phút, A tự đi ngồi góc bình tĩnh và hít thở.</t>
  </si>
  <si>
    <t xml:space="preserve">NL4-Thích ứng; TX1-Điều chỉnh CX</t>
  </si>
  <si>
    <t xml:space="preserve">H</t>
  </si>
  <si>
    <t xml:space="preserve">Khen A đã biết tự đến góc bình tĩnh. Tiếp tục duy trì góc BT trong lớp.</t>
  </si>
  <si>
    <t xml:space="preserve">Minh chứng mức H – NL Thích ứng</t>
  </si>
  <si>
    <t xml:space="preserve">15/09/2026 10:15</t>
  </si>
  <si>
    <t xml:space="preserve">Trần B</t>
  </si>
  <si>
    <t xml:space="preserve">Trong giờ xây dựng, B nói: 'Tòa nhà bị đổ vì mình xếp không thẳng. Thử xếp cái to dưới cái nhỏ xem.' – B xếp lại thành công.</t>
  </si>
  <si>
    <t xml:space="preserve">NL3-GQVĐ; NT2-Tư duy logic</t>
  </si>
  <si>
    <t xml:space="preserve">V</t>
  </si>
  <si>
    <t xml:space="preserve">Ghi nhận vào portfolio. Tạo thêm tình huống thử thách trong tháng 10.</t>
  </si>
  <si>
    <t xml:space="preserve">Minh chứng mức V – NL Giải quyết VĐ</t>
  </si>
  <si>
    <t xml:space="preserve">22/09/2026 15:00</t>
  </si>
  <si>
    <t xml:space="preserve">Lê C</t>
  </si>
  <si>
    <t xml:space="preserve">C nhìn bạn D đang ngồi khóc một mình, C đến ngồi bên cạnh, đặt tay lên vai D và nói: 'Bạn buồn à? Mình ngồi cạnh bạn nhé.'</t>
  </si>
  <si>
    <t xml:space="preserve">PC1-Yêu thương; NL2-Hợp tác</t>
  </si>
  <si>
    <t xml:space="preserve">Chia sẻ với phụ huynh. Trao đổi trong SHCM. Tạo thêm cơ hội lãnh đạo nhóm.</t>
  </si>
  <si>
    <t xml:space="preserve">Ví dụ biểu hiện PC Yêu thương mức V</t>
  </si>
  <si>
    <t xml:space="preserve">PHIẾU TRAO ĐỔI VỀ SỰ PHÁT TRIỂN CỦA TRẺ – DÀNH CHO GIA ĐÌNH</t>
  </si>
  <si>
    <t xml:space="preserve">Trường: …………… | Lớp: …………… | Tên trẻ: …………… | Học kỳ: □ HK1  □ HK2 | Ngày trao đổi: ……………</t>
  </si>
  <si>
    <t xml:space="preserve">💛 Đây là những ghi nhận của cô về hành trình phát triển của riêng con — KHÔNG so sánh con với bạn khác trong lớp.</t>
  </si>
  <si>
    <t xml:space="preserve">ĐIỂM MẠNH NỔI BẬT CỦA CON TRONG HỌC KỲ NÀY 🌟</t>
  </si>
  <si>
    <t xml:space="preserve">Năng lực con thể hiện tốt nhất:</t>
  </si>
  <si>
    <t xml:space="preserve">Ví dụ cụ thể GV quan sát được:</t>
  </si>
  <si>
    <t xml:space="preserve">Phẩm chất con thể hiện rõ:</t>
  </si>
  <si>
    <t xml:space="preserve">NHỮNG ĐIỀU CON ĐANG TIẾN BỘ 📈</t>
  </si>
  <si>
    <t xml:space="preserve">Lĩnh vực đang có tiến bộ rõ:</t>
  </si>
  <si>
    <t xml:space="preserve">So với đầu năm/học kỳ trước, con đã:</t>
  </si>
  <si>
    <t xml:space="preserve">Điều GV muốn chia sẻ với gia đình:</t>
  </si>
  <si>
    <t xml:space="preserve">NHỮNG ĐIỀU CON CẦN TIẾP TỤC HỖ TRỢ 🤝</t>
  </si>
  <si>
    <t xml:space="preserve">Điểm cần phát triển thêm:</t>
  </si>
  <si>
    <t xml:space="preserve">Cách nhà trường sẽ hỗ trợ:</t>
  </si>
  <si>
    <t xml:space="preserve">Gia đình có thể giúp con tại nhà:</t>
  </si>
  <si>
    <t xml:space="preserve">ĐỀ NGHỊ VÀ PHỐI HỢP</t>
  </si>
  <si>
    <t xml:space="preserve">Đề nghị gia đình:</t>
  </si>
  <si>
    <t xml:space="preserve">Thời gian hẹn trao đổi tiếp theo:</t>
  </si>
  <si>
    <t xml:space="preserve">Gia đình phản hồi / góp ý:</t>
  </si>
  <si>
    <t xml:space="preserve">RÀ SOÁT ĐỐI CHIẾU QĐ 388 — BỘ TÀI LIỆU NHÀ TRẺ 12–36 THÁNG (2026–2027)</t>
  </si>
  <si>
    <t xml:space="preserve">8 tiêu chí bám QĐ 388 và đặc điểm Nhà trẻ 12–36 tháng. Đ = Đạt · ĐMP = Đạt một phần (còn việc cần làm) · CĐ = Chưa đạt. Cập nhật mỗi khi có thay đổi nội dung file.</t>
  </si>
  <si>
    <t xml:space="preserve">Tiêu chí rà soát</t>
  </si>
  <si>
    <t xml:space="preserve">Mức đạt</t>
  </si>
  <si>
    <t xml:space="preserve">Minh chứng trong file</t>
  </si>
  <si>
    <t xml:space="preserve">Nội dung đã điều chỉnh</t>
  </si>
  <si>
    <t xml:space="preserve">Việc cần nhà trường bổ sung</t>
  </si>
  <si>
    <t xml:space="preserve">1. Chăm sóc – nuôi dưỡng – giáo dục tích hợp</t>
  </si>
  <si>
    <t xml:space="preserve">ĐMP</t>
  </si>
  <si>
    <t xml:space="preserve">FRAMEWORK mã TC2.1/TC2.2 (duy trì ăn–ngủ–vệ sinh khi đổi môi trường); RUBRIC nhóm TC5 "ăn uống hợp lý"; NGÂN HÀNG HOẠT ĐỘNG mã NT-01 "Bé và cô" gắn giờ đón trẻ.</t>
  </si>
  <si>
    <t xml:space="preserve">Chưa điều chỉnh riêng mục này — mới dừng ở mức ghi nhận là điểm cần bổ sung trong lần rà soát 8 tiêu chí trước.</t>
  </si>
  <si>
    <t xml:space="preserve">Bổ sung thêm hoạt động trong NGÂN HÀNG HOẠT ĐỘNG gắn trực tiếp với giờ ăn/ngủ/vệ sinh/đón-trả như một cơ hội giáo dục, không chỉ dừng ở giờ chơi/học.</t>
  </si>
  <si>
    <t xml:space="preserve">2. Môi trường an toàn</t>
  </si>
  <si>
    <t xml:space="preserve">Đ</t>
  </si>
  <si>
    <t xml:space="preserve">Nhóm năng lực TC6 "Chăm sóc sức khỏe, vệ sinh và bảo đảm an toàn" (1. ĐỒNG BỘ KẾ HOẠCH, 4. TRA CỨU NHANH); 9. CHECKLIST TRIỂN KHAI HĐ mục "Kiểm tra an toàn: không sắc nhọn, không quá nhỏ, không độc hại"; 10. NGÂN HÀNG HỌC LIỆU ưu tiên vật liệu an toàn.</t>
  </si>
  <si>
    <t xml:space="preserve">Không cần điều chỉnh — đã đạt từ bản gốc.</t>
  </si>
  <si>
    <t xml:space="preserve">Trường tự bổ sung nội quy an toàn cụ thể theo cơ sở vật chất thực tế (ổ điện, cầu thang, sân chơi…) — file chỉ nêu nguyên tắc chung, không thay thế kiểm tra an toàn thực địa.</t>
  </si>
  <si>
    <t xml:space="preserve">3. Phát triển năng lực nền</t>
  </si>
  <si>
    <t xml:space="preserve">6. CẦU NỐI KHUNG NL (ánh xạ 5 lĩnh vực ↔ 5 năng lực nền tảng: Giao tiếp–Hợp tác–Giải quyết vấn đề–Thích ứng–Tự lực); 13. BẢNG KIỂM LỚP cột GT/HT/GQ/TA/TL.</t>
  </si>
  <si>
    <t xml:space="preserve">Đã bỏ "Sáng tạo" khỏi danh sách năng lực nền tảng độc lập (dòng Nghệ thuật), đổi thành "Giao tiếp · Thích ứng" để khớp bộ Mẫu giáo 3–6T.</t>
  </si>
  <si>
    <t xml:space="preserve">Không cần bổ sung thêm.</t>
  </si>
  <si>
    <t xml:space="preserve">4. Đánh giá quá trình</t>
  </si>
  <si>
    <t xml:space="preserve">11. RUBRIC NHÀ TRẺ (I/H/V theo hành vi quan sát được); 13. BẢNG KIỂM LỚP (I/H/V/X); 14. NHẬT KÝ QUAN SÁT; 17. DASHBOARD_LOP.</t>
  </si>
  <si>
    <t xml:space="preserve">Thêm mức X vào Bảng kiểm lớp/Dashboard; sửa công thức đếm chỉ trong vùng năng lực; thêm cột "Hỗ trợ tiếp theo" ở Rubric; loại bỏ từ ngữ gây áp lực ("yếu cơ/yếu tay" → diễn đạt trung tính).</t>
  </si>
  <si>
    <t xml:space="preserve">Giáo viên cần nhập dữ liệu quan sát thực tế hằng tháng để Rubric/Dashboard phát huy tác dụng — file không tự có dữ liệu.</t>
  </si>
  <si>
    <t xml:space="preserve">5. Phối hợp cha mẹ</t>
  </si>
  <si>
    <t xml:space="preserve">15. PHIẾU TRAO ĐỔI CMHS (mục "Đề nghị và phối hợp"); cột "Điều chỉnh" trong FRAMEWORK có nhắc phối hợp phụ huynh ở nhiều mã; 9. CHECKLIST có mục thông báo phụ huynh.</t>
  </si>
  <si>
    <t xml:space="preserve">Chưa điều chỉnh — đã ghi nhận thiếu dòng cảnh báo "không so sánh trẻ" ở Phiếu trao đổi CMHS trong lần rà soát trước nhưng chưa thực hiện.</t>
  </si>
  <si>
    <t xml:space="preserve">Thêm dòng nhắc "không so sánh với trẻ khác" vào Phiếu trao đổi CMHS; rà lại văn phong cho mềm mại, phù hợp tâm lý phụ huynh có con nhà trẻ (thường lo lắng nhiều hơn phụ huynh mẫu giáo).</t>
  </si>
  <si>
    <t xml:space="preserve">6. Giáo dục hòa nhập</t>
  </si>
  <si>
    <t xml:space="preserve">12. PHIẾU CÁ NHÂN có trường "Trẻ hòa nhập: Không/Có – Loại KT"; 📚 TRIẾT LÝ &amp; NGUYÊN TẮC nêu hòa nhập là nguyên tắc cốt lõi.</t>
  </si>
  <si>
    <t xml:space="preserve">Chưa điều chỉnh cụ thể.</t>
  </si>
  <si>
    <t xml:space="preserve">FRAMEWORK/RUBRIC chưa có cột hướng dẫn điều chỉnh riêng theo từng dạng khuyết tật (hiện lồng chung trong cột "Điều chỉnh" cho mọi trẻ) — nhà trường cần bổ sung hướng dẫn chuyên biệt nếu lớp có trẻ hòa nhập, phối hợp chuyên gia/giáo viên hỗ trợ.</t>
  </si>
  <si>
    <t xml:space="preserve">7. Giảm tải hồ sơ</t>
  </si>
  <si>
    <t xml:space="preserve">4. TRA CỨU NHANH và 17. DASHBOARD_LOP giúp xem nhanh không cần mở nhiều sheet.</t>
  </si>
  <si>
    <t xml:space="preserve">Đã phát hiện trùng chức năng giữa "5. HỒ SƠ GV" và "14. NHẬT KÝ QUAN SÁT" (ghi nhận ở lần rà soát 8 tiêu chí) — CHƯA xử lý gộp/phân vai lại, đang chờ quyết định.</t>
  </si>
  <si>
    <t xml:space="preserve">Quyết định gộp 2 sheet Hồ sơ GV/Nhật ký quan sát hoặc quy định rõ vai trò từng sheet; trường tự chọn sheet nào bắt buộc nộp làm hồ sơ chính thức (khuyến nghị: chỉ Bảng kiểm lớp + Phiếu cá nhân cuối kỳ).</t>
  </si>
  <si>
    <t xml:space="preserve">8. Quản lý chuyên môn</t>
  </si>
  <si>
    <t xml:space="preserve">17. DASHBOARD_LOP (sĩ số, tổng lượt V/H/I/X, tỉ lệ cần hỗ trợ theo mã, năng lực ưu tiên tháng, danh sách trẻ cần quan sát thêm, gợi ý chỉ đạo sinh hoạt chuyên môn); 16. RA_SOAT_388 (chính sheet này).</t>
  </si>
  <si>
    <t xml:space="preserve">Xây mới hoàn toàn Dashboard_lop với 6 mục tự động; xử lý trường hợp đồng hạng khi xếp năng lực ưu tiên; toàn bộ công thức không lỗi khi thiếu dữ liệu.</t>
  </si>
  <si>
    <t xml:space="preserve">Nếu trường có nhiều lớp: nhân bản Bảng kiểm lớp + Dashboard_lop cho từng lớp (đặt tên liền kề); có thể làm thêm Dashboard toàn trường nếu CBQL cần tổng hợp nhiều lớp (ngoài phạm vi hiện tại).</t>
  </si>
  <si>
    <t xml:space="preserve">KẾT LUẬN CHUNG</t>
  </si>
  <si>
    <t xml:space="preserve">4/8 tiêu chí đạt hoàn toàn: Môi trường an toàn, Phát triển năng lực nền, Đánh giá quá trình, Quản lý chuyên môn. 4/8 tiêu chí đạt một phần, còn việc cụ thể cần làm: (1) Chăm sóc–nuôi dưỡng–giáo dục tích hợp — cần thêm hoạt động gắn giờ ăn/ngủ/vệ sinh; (5) Phối hợp cha mẹ — cần thêm cảnh báo không so sánh trẻ vào Phiếu trao đổi CMHS; (6) Giáo dục hòa nhập — cần hướng dẫn điều chỉnh riêng theo dạng khuyết tật; (7) Giảm tải hồ sơ — cần quyết định xử lý trùng lặp Hồ sơ GV/Nhật ký quan sát. Không có tiêu chí nào ở mức Chưa đạt.</t>
  </si>
  <si>
    <t xml:space="preserve">BẢNG ĐỐI CHIẾU TỪNG SHEET VỚI 5 TRỤC CỦA QĐ 388</t>
  </si>
  <si>
    <t xml:space="preserve">✓ = Trục chính của sheet · • = Có liên quan/hỗ trợ · — = Không áp dụng trực tiếp</t>
  </si>
  <si>
    <t xml:space="preserve">Sheet</t>
  </si>
  <si>
    <t xml:space="preserve">Mục tiêu
giáo dục</t>
  </si>
  <si>
    <t xml:space="preserve">Nguyên tắc
giáo dục</t>
  </si>
  <si>
    <t xml:space="preserve">Nội dung
giáo dục</t>
  </si>
  <si>
    <t xml:space="preserve">Phương pháp/
Hình thức tổ chức</t>
  </si>
  <si>
    <t xml:space="preserve">Đánh giá sự
phát triển của trẻ</t>
  </si>
  <si>
    <t xml:space="preserve">🏠 Trang chủ</t>
  </si>
  <si>
    <t xml:space="preserve">—</t>
  </si>
  <si>
    <t xml:space="preserve">📖 Hướng dẫn sử dụng</t>
  </si>
  <si>
    <t xml:space="preserve">•</t>
  </si>
  <si>
    <t xml:space="preserve">✓</t>
  </si>
  <si>
    <t xml:space="preserve">📚 Triết lý &amp; Nguyên tắc</t>
  </si>
  <si>
    <t xml:space="preserve">1. Đồng bộ kế hoạch</t>
  </si>
  <si>
    <t xml:space="preserve">2. Framework</t>
  </si>
  <si>
    <t xml:space="preserve">3. Thư viện số</t>
  </si>
  <si>
    <t xml:space="preserve">4. Tra cứu nhanh</t>
  </si>
  <si>
    <t xml:space="preserve">5. Hồ sơ GV</t>
  </si>
  <si>
    <t xml:space="preserve">6. Cầu nối khung NL</t>
  </si>
  <si>
    <t xml:space="preserve">7. Khung NL tóm tắt</t>
  </si>
  <si>
    <t xml:space="preserve">8. Ngân hàng hoạt động</t>
  </si>
  <si>
    <t xml:space="preserve">9. Checklist triển khai HĐ</t>
  </si>
  <si>
    <t xml:space="preserve">9b. Giáo dục trong sinh hoạt</t>
  </si>
  <si>
    <t xml:space="preserve">10. Ngân hàng học liệu</t>
  </si>
  <si>
    <t xml:space="preserve">11. Rubric Nhà trẻ</t>
  </si>
  <si>
    <t xml:space="preserve">12. Phiếu cá nhân</t>
  </si>
  <si>
    <t xml:space="preserve">12b. Portfolio</t>
  </si>
  <si>
    <t xml:space="preserve">13. Bảng kiểm lớp</t>
  </si>
  <si>
    <t xml:space="preserve">14. Nhật ký quan sát</t>
  </si>
  <si>
    <t xml:space="preserve">15. Phiếu trao đổi CMHS</t>
  </si>
  <si>
    <t xml:space="preserve">17. Dashboard_lop</t>
  </si>
  <si>
    <t xml:space="preserve">NHẬN XÉT</t>
  </si>
  <si>
    <t xml:space="preserve">Cả 5 trục QĐ 388 đều được thể hiện xuyên suốt bộ tài liệu, không tập trung dồn vào 1-2 sheet. Trục "Đánh giá sự phát triển" có nhiều sheet phụ trách nhất (Rubric, Bảng kiểm lớp, Nhật ký, Phiếu cá nhân, Portfolio, Dashboard) để đảm bảo đánh giá đa chiều, có minh chứng, không dồn vào 1 công cụ duy nhất. Sheet 2. Framework là sheet duy nhất chạm đủ cả 5 trục — đóng vai trò xương sống liên kết toàn bộ tài liệu.</t>
  </si>
  <si>
    <t xml:space="preserve">DASHBOARD LỚP — TỰ ĐỘNG TỪ SHEET BẢNG KIỂM LỚP</t>
  </si>
  <si>
    <t xml:space="preserve">Dành cho GV và CBQL xem nhanh tình hình phát triển của lớp. Áp dụng cho 1 lớp cụ thể — nếu trường có nhiều lớp, nhân bản sheet "13. BẢNG KIỂM LỚP" + sheet này cho từng lớp (đổi tên), sửa lại tham chiếu cho đúng.</t>
  </si>
  <si>
    <t xml:space="preserve">A. TỔNG QUAN LỚP</t>
  </si>
  <si>
    <t xml:space="preserve">Sĩ số lớp:</t>
  </si>
  <si>
    <t xml:space="preserve">Tổng số trẻ có dữ liệu (≥1 đánh giá):</t>
  </si>
  <si>
    <t xml:space="preserve">Tỉ lệ đã cập nhật đánh giá:</t>
  </si>
  <si>
    <t xml:space="preserve">B. TỔNG SỐ LƯỢT ĐÁNH GIÁ TOÀN LỚP (CỘNG DỒN 14 MÃ)</t>
  </si>
  <si>
    <t xml:space="preserve">Mức</t>
  </si>
  <si>
    <t xml:space="preserve">Tổng số lượt</t>
  </si>
  <si>
    <t xml:space="preserve">Tỉ lệ trên tổng lượt đã đánh giá</t>
  </si>
  <si>
    <t xml:space="preserve">V (Vững chắc)</t>
  </si>
  <si>
    <t xml:space="preserve">H (Hình thành)</t>
  </si>
  <si>
    <t xml:space="preserve">I (Khởi đầu)</t>
  </si>
  <si>
    <t xml:space="preserve">X (Chưa quan sát)</t>
  </si>
  <si>
    <t xml:space="preserve">C. TỶ LỆ TRẺ CẦN HỖ TRỢ THEO TỪNG MÃ NĂNG LỰC (mức I hoặc X trên sĩ số)</t>
  </si>
  <si>
    <t xml:space="preserve">Số trẻ mức I</t>
  </si>
  <si>
    <t xml:space="preserve">Số trẻ mức H</t>
  </si>
  <si>
    <t xml:space="preserve">Số trẻ mức V</t>
  </si>
  <si>
    <t xml:space="preserve">Số trẻ mức X</t>
  </si>
  <si>
    <t xml:space="preserve">Tỉ lệ cần hỗ trợ (I+X)/Sĩ số</t>
  </si>
  <si>
    <t xml:space="preserve">Trợ giúp xếp hạng (ẩn)</t>
  </si>
  <si>
    <t xml:space="preserve">D. NĂNG LỰC CẦN ƯU TIÊN HỖ TRỢ TRONG THÁNG (xếp theo số trẻ mức I, nhiều nhất trước)</t>
  </si>
  <si>
    <t xml:space="preserve">Thứ tự ưu tiên</t>
  </si>
  <si>
    <t xml:space="preserve">Ưu tiên 1</t>
  </si>
  <si>
    <t xml:space="preserve">Ưu tiên 2</t>
  </si>
  <si>
    <t xml:space="preserve">Ưu tiên 3</t>
  </si>
  <si>
    <t xml:space="preserve">E. DANH SÁCH TRẺ CẦN QUAN SÁT THÊM (có mã X hoặc chưa có đánh giá nào)</t>
  </si>
  <si>
    <t xml:space="preserve">Lý do</t>
  </si>
  <si>
    <t xml:space="preserve">F. GỢI Ý CHỈ ĐẠO SINH HOẠT CHUYÊN MÔN</t>
  </si>
  <si>
    <t xml:space="preserve">• Dùng số liệu mục B, C, D để chọn nội dung sinh hoạt chuyên môn (bồi dưỡng kỹ năng quan sát, làm mẫu hoạt động cho mã đang có nhiều trẻ mức I nhất) — KHÔNG dùng để nhắc tên GV hay lớp cụ thể.</t>
  </si>
  <si>
    <t xml:space="preserve">⚠ Dashboard chỉ phục vụ điều chỉnh hoạt động dạy học và sinh hoạt chuyên môn — KHÔNG dùng để xếp loại trẻ, so sánh trẻ hay so sánh giữa các lớp/GV.</t>
  </si>
</sst>
</file>

<file path=xl/styles.xml><?xml version="1.0" encoding="utf-8"?>
<styleSheet xmlns="http://schemas.openxmlformats.org/spreadsheetml/2006/main">
  <numFmts count="3">
    <numFmt numFmtId="164" formatCode="General"/>
    <numFmt numFmtId="165" formatCode="General"/>
    <numFmt numFmtId="166" formatCode="0%"/>
  </numFmts>
  <fonts count="70">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D9E2F5"/>
      <name val="Calibri"/>
      <family val="0"/>
      <charset val="1"/>
    </font>
    <font>
      <b val="true"/>
      <sz val="12"/>
      <color rgb="FFFFBC00"/>
      <name val="Calibri"/>
      <family val="0"/>
      <charset val="1"/>
    </font>
    <font>
      <b val="true"/>
      <sz val="12"/>
      <color rgb="FFFFFFFF"/>
      <name val="Calibri"/>
      <family val="0"/>
      <charset val="1"/>
    </font>
    <font>
      <sz val="10"/>
      <color rgb="FFD9E2F5"/>
      <name val="Calibri"/>
      <family val="0"/>
      <charset val="1"/>
    </font>
    <font>
      <b val="true"/>
      <u val="single"/>
      <sz val="12"/>
      <color rgb="FFFFFFFF"/>
      <name val="Calibri"/>
      <family val="0"/>
      <charset val="1"/>
    </font>
    <font>
      <sz val="10"/>
      <name val="Calibri"/>
      <family val="0"/>
      <charset val="1"/>
    </font>
    <font>
      <b val="true"/>
      <sz val="10"/>
      <color rgb="FFFFBC00"/>
      <name val="Calibri"/>
      <family val="0"/>
      <charset val="1"/>
    </font>
    <font>
      <sz val="9"/>
      <color rgb="FFB9C6E8"/>
      <name val="Calibri"/>
      <family val="0"/>
      <charset val="1"/>
    </font>
    <font>
      <b val="true"/>
      <sz val="14"/>
      <color rgb="FFFFFFFF"/>
      <name val="Times New Roman"/>
      <family val="0"/>
      <charset val="1"/>
    </font>
    <font>
      <i val="true"/>
      <sz val="14"/>
      <color rgb="FF0D2660"/>
      <name val="Times New Roman"/>
      <family val="0"/>
      <charset val="1"/>
    </font>
    <font>
      <b val="true"/>
      <u val="single"/>
      <sz val="14"/>
      <color rgb="FF1155CC"/>
      <name val="Times New Roman"/>
      <family val="0"/>
      <charset val="1"/>
    </font>
    <font>
      <b val="true"/>
      <sz val="14"/>
      <color rgb="FF0D2660"/>
      <name val="Times New Roman"/>
      <family val="1"/>
      <charset val="1"/>
    </font>
    <font>
      <b val="true"/>
      <sz val="14"/>
      <color rgb="FF0D2660"/>
      <name val="Times New Roman"/>
      <family val="0"/>
      <charset val="1"/>
    </font>
    <font>
      <sz val="14"/>
      <color rgb="FF000000"/>
      <name val="Times New Roman"/>
      <family val="0"/>
      <charset val="1"/>
    </font>
    <font>
      <sz val="14"/>
      <name val="Times New Roman"/>
      <family val="1"/>
      <charset val="1"/>
    </font>
    <font>
      <b val="true"/>
      <sz val="14"/>
      <color rgb="FFC00000"/>
      <name val="Times New Roman"/>
      <family val="0"/>
      <charset val="1"/>
    </font>
    <font>
      <b val="true"/>
      <sz val="14"/>
      <color rgb="FF000000"/>
      <name val="Times New Roman"/>
      <family val="0"/>
      <charset val="1"/>
    </font>
    <font>
      <sz val="14"/>
      <name val="Times New Roman"/>
      <family val="0"/>
      <charset val="1"/>
    </font>
    <font>
      <b val="true"/>
      <u val="single"/>
      <sz val="10"/>
      <color rgb="FFFFFFFF"/>
      <name val="Calibri"/>
      <family val="0"/>
      <charset val="1"/>
    </font>
    <font>
      <b val="true"/>
      <sz val="16"/>
      <color rgb="FFFFFFFF"/>
      <name val="Calibri"/>
      <family val="0"/>
      <charset val="1"/>
    </font>
    <font>
      <b val="true"/>
      <sz val="13"/>
      <color rgb="FFFFBC00"/>
      <name val="Calibri"/>
      <family val="0"/>
      <charset val="1"/>
    </font>
    <font>
      <b val="true"/>
      <sz val="11"/>
      <color rgb="FF0D2660"/>
      <name val="Calibri"/>
      <family val="0"/>
      <charset val="1"/>
    </font>
    <font>
      <sz val="11"/>
      <color rgb="FF1A1A1A"/>
      <name val="Calibri"/>
      <family val="0"/>
      <charset val="1"/>
    </font>
    <font>
      <b val="true"/>
      <sz val="12"/>
      <color rgb="FFFFFFFF"/>
      <name val="Times New Roman"/>
      <family val="1"/>
      <charset val="1"/>
    </font>
    <font>
      <i val="true"/>
      <sz val="12"/>
      <color rgb="FF0D2660"/>
      <name val="Times New Roman"/>
      <family val="1"/>
      <charset val="1"/>
    </font>
    <font>
      <b val="true"/>
      <u val="single"/>
      <sz val="12"/>
      <color rgb="FF1155CC"/>
      <name val="Times New Roman"/>
      <family val="1"/>
      <charset val="1"/>
    </font>
    <font>
      <b val="true"/>
      <sz val="8"/>
      <color rgb="FF0D2660"/>
      <name val="Arial"/>
      <family val="0"/>
      <charset val="1"/>
    </font>
    <font>
      <b val="true"/>
      <sz val="12"/>
      <color theme="7" tint="-0.5"/>
      <name val="Times New Roman"/>
      <family val="1"/>
      <charset val="1"/>
    </font>
    <font>
      <b val="true"/>
      <sz val="12"/>
      <color rgb="FF0D2660"/>
      <name val="Times New Roman"/>
      <family val="1"/>
      <charset val="1"/>
    </font>
    <font>
      <sz val="12"/>
      <color rgb="FF1A1A1A"/>
      <name val="Times New Roman"/>
      <family val="1"/>
      <charset val="1"/>
    </font>
    <font>
      <b val="true"/>
      <sz val="12"/>
      <color theme="3" tint="-0.5"/>
      <name val="Times New Roman"/>
      <family val="1"/>
      <charset val="1"/>
    </font>
    <font>
      <b val="true"/>
      <sz val="9"/>
      <color rgb="FFFFFFFF"/>
      <name val="Arial"/>
      <family val="0"/>
      <charset val="1"/>
    </font>
    <font>
      <sz val="9"/>
      <name val="Arial"/>
      <family val="0"/>
      <charset val="1"/>
    </font>
    <font>
      <b val="true"/>
      <sz val="14"/>
      <color rgb="FFFFFFFF"/>
      <name val="Arial"/>
      <family val="0"/>
      <charset val="1"/>
    </font>
    <font>
      <i val="true"/>
      <sz val="10"/>
      <color rgb="FF0D2660"/>
      <name val="Arial"/>
      <family val="0"/>
      <charset val="1"/>
    </font>
    <font>
      <b val="true"/>
      <u val="single"/>
      <sz val="10"/>
      <color rgb="FF1155CC"/>
      <name val="Arial"/>
      <family val="0"/>
      <charset val="1"/>
    </font>
    <font>
      <b val="true"/>
      <sz val="11"/>
      <color rgb="FF0D2660"/>
      <name val="Arial"/>
      <family val="0"/>
      <charset val="1"/>
    </font>
    <font>
      <sz val="11"/>
      <name val="Arial"/>
      <family val="0"/>
      <charset val="1"/>
    </font>
    <font>
      <b val="true"/>
      <sz val="10"/>
      <color rgb="FFFFFFFF"/>
      <name val="Arial"/>
      <family val="0"/>
      <charset val="1"/>
    </font>
    <font>
      <b val="true"/>
      <sz val="13"/>
      <color rgb="FFFFFFFF"/>
      <name val="Arial"/>
      <family val="0"/>
      <charset val="1"/>
    </font>
    <font>
      <b val="true"/>
      <sz val="10"/>
      <color rgb="FF0D2660"/>
      <name val="Arial"/>
      <family val="0"/>
      <charset val="1"/>
    </font>
    <font>
      <sz val="10"/>
      <color rgb="FF1A1A1A"/>
      <name val="Arial"/>
      <family val="0"/>
      <charset val="1"/>
    </font>
    <font>
      <i val="true"/>
      <sz val="9"/>
      <color rgb="FF555555"/>
      <name val="Arial"/>
      <family val="0"/>
      <charset val="1"/>
    </font>
    <font>
      <sz val="8"/>
      <color rgb="FF1A1A1A"/>
      <name val="Arial"/>
      <family val="0"/>
      <charset val="1"/>
    </font>
    <font>
      <b val="true"/>
      <sz val="9"/>
      <color rgb="FF0D2660"/>
      <name val="Arial"/>
      <family val="0"/>
      <charset val="1"/>
    </font>
    <font>
      <sz val="9"/>
      <color rgb="FF1A1A1A"/>
      <name val="Arial"/>
      <family val="0"/>
      <charset val="1"/>
    </font>
    <font>
      <b val="true"/>
      <sz val="11"/>
      <color rgb="FFFFFFFF"/>
      <name val="Arial"/>
      <family val="0"/>
      <charset val="1"/>
    </font>
    <font>
      <b val="true"/>
      <sz val="9"/>
      <name val="Arial"/>
      <family val="0"/>
      <charset val="1"/>
    </font>
    <font>
      <i val="true"/>
      <sz val="10"/>
      <color rgb="FF595959"/>
      <name val="Arial"/>
      <family val="0"/>
      <charset val="1"/>
    </font>
    <font>
      <b val="true"/>
      <sz val="11"/>
      <color rgb="FF000000"/>
      <name val="Arial"/>
      <family val="0"/>
      <charset val="1"/>
    </font>
    <font>
      <sz val="9"/>
      <color rgb="FF000000"/>
      <name val="Arial"/>
      <family val="0"/>
      <charset val="1"/>
    </font>
    <font>
      <b val="true"/>
      <sz val="10"/>
      <color rgb="FF000000"/>
      <name val="Arial"/>
      <family val="0"/>
      <charset val="1"/>
    </font>
    <font>
      <i val="true"/>
      <sz val="9"/>
      <name val="Arial"/>
      <family val="0"/>
      <charset val="1"/>
    </font>
    <font>
      <b val="true"/>
      <sz val="9"/>
      <color rgb="FF000000"/>
      <name val="Arial"/>
      <family val="0"/>
      <charset val="1"/>
    </font>
    <font>
      <b val="true"/>
      <i val="true"/>
      <sz val="9"/>
      <color rgb="FFC00000"/>
      <name val="Arial"/>
      <family val="0"/>
      <charset val="1"/>
    </font>
    <font>
      <sz val="10"/>
      <color rgb="FF000000"/>
      <name val="Arial"/>
      <family val="0"/>
      <charset val="1"/>
    </font>
    <font>
      <b val="true"/>
      <sz val="12"/>
      <color rgb="FFFFFFFF"/>
      <name val="Arial"/>
      <family val="0"/>
      <charset val="1"/>
    </font>
    <font>
      <sz val="10"/>
      <name val="Arial"/>
      <family val="0"/>
      <charset val="1"/>
    </font>
    <font>
      <sz val="12"/>
      <color rgb="FF000000"/>
      <name val="Arial"/>
      <family val="0"/>
      <charset val="1"/>
    </font>
    <font>
      <b val="true"/>
      <sz val="10"/>
      <name val="Arial"/>
      <family val="0"/>
      <charset val="1"/>
    </font>
    <font>
      <b val="true"/>
      <sz val="11"/>
      <color rgb="FFC00000"/>
      <name val="Arial"/>
      <family val="0"/>
      <charset val="1"/>
    </font>
    <font>
      <b val="true"/>
      <sz val="10"/>
      <color rgb="FFC00000"/>
      <name val="Arial"/>
      <family val="0"/>
      <charset val="1"/>
    </font>
    <font>
      <i val="true"/>
      <sz val="10"/>
      <name val="Arial"/>
      <family val="0"/>
      <charset val="1"/>
    </font>
    <font>
      <b val="true"/>
      <i val="true"/>
      <sz val="11"/>
      <color rgb="FF1F4E79"/>
      <name val="Calibri"/>
      <family val="0"/>
      <charset val="1"/>
    </font>
    <font>
      <i val="true"/>
      <sz val="8"/>
      <name val="Arial"/>
      <family val="0"/>
      <charset val="1"/>
    </font>
  </fonts>
  <fills count="39">
    <fill>
      <patternFill patternType="none"/>
    </fill>
    <fill>
      <patternFill patternType="gray125"/>
    </fill>
    <fill>
      <patternFill patternType="solid">
        <fgColor rgb="FF0D2660"/>
        <bgColor rgb="FF15306E"/>
      </patternFill>
    </fill>
    <fill>
      <patternFill patternType="solid">
        <fgColor rgb="FF15306E"/>
        <bgColor rgb="FF0D2660"/>
      </patternFill>
    </fill>
    <fill>
      <patternFill patternType="solid">
        <fgColor rgb="FFFFF3D1"/>
        <bgColor rgb="FFFFF2CC"/>
      </patternFill>
    </fill>
    <fill>
      <patternFill patternType="solid">
        <fgColor rgb="FFFFBC00"/>
        <bgColor rgb="FFFF8C00"/>
      </patternFill>
    </fill>
    <fill>
      <patternFill patternType="solid">
        <fgColor rgb="FFF2F4FA"/>
        <bgColor rgb="FFF2F2F2"/>
      </patternFill>
    </fill>
    <fill>
      <patternFill patternType="solid">
        <fgColor rgb="FF1A3F90"/>
        <bgColor rgb="FF1F4E79"/>
      </patternFill>
    </fill>
    <fill>
      <patternFill patternType="solid">
        <fgColor rgb="FFD9E8FB"/>
        <bgColor rgb="FFDDEBF7"/>
      </patternFill>
    </fill>
    <fill>
      <patternFill patternType="solid">
        <fgColor rgb="FFE2F0D9"/>
        <bgColor rgb="FFE2EFDA"/>
      </patternFill>
    </fill>
    <fill>
      <patternFill patternType="solid">
        <fgColor rgb="FFE8F0FE"/>
        <bgColor rgb="FFEAF0FB"/>
      </patternFill>
    </fill>
    <fill>
      <patternFill patternType="solid">
        <fgColor rgb="FFE6F4EA"/>
        <bgColor rgb="FFEAF0FB"/>
      </patternFill>
    </fill>
    <fill>
      <patternFill patternType="solid">
        <fgColor rgb="FFF3E8FD"/>
        <bgColor rgb="FFEAF0FB"/>
      </patternFill>
    </fill>
    <fill>
      <patternFill patternType="solid">
        <fgColor rgb="FFFCE8E6"/>
        <bgColor rgb="FFFCE4E4"/>
      </patternFill>
    </fill>
    <fill>
      <patternFill patternType="solid">
        <fgColor rgb="FF2E75B6"/>
        <bgColor rgb="FF1155CC"/>
      </patternFill>
    </fill>
    <fill>
      <patternFill patternType="solid">
        <fgColor rgb="FFF2F2F2"/>
        <bgColor rgb="FFF2F4FA"/>
      </patternFill>
    </fill>
    <fill>
      <patternFill patternType="solid">
        <fgColor rgb="FFFFFDE7"/>
        <bgColor rgb="FFFFFDF5"/>
      </patternFill>
    </fill>
    <fill>
      <patternFill patternType="solid">
        <fgColor rgb="FFFFFDF5"/>
        <bgColor rgb="FFFFFFFF"/>
      </patternFill>
    </fill>
    <fill>
      <patternFill patternType="solid">
        <fgColor rgb="FFEAF0FB"/>
        <bgColor rgb="FFE8F0FE"/>
      </patternFill>
    </fill>
    <fill>
      <patternFill patternType="solid">
        <fgColor rgb="FFE3ECF9"/>
        <bgColor rgb="FFDDEBF7"/>
      </patternFill>
    </fill>
    <fill>
      <patternFill patternType="solid">
        <fgColor rgb="FF1F4E79"/>
        <bgColor rgb="FF1A3F90"/>
      </patternFill>
    </fill>
    <fill>
      <patternFill patternType="solid">
        <fgColor rgb="FFFFFFFF"/>
        <bgColor rgb="FFFFFDF5"/>
      </patternFill>
    </fill>
    <fill>
      <patternFill patternType="solid">
        <fgColor rgb="FFE2EFDA"/>
        <bgColor rgb="FFE2F0D9"/>
      </patternFill>
    </fill>
    <fill>
      <patternFill patternType="solid">
        <fgColor rgb="FF00B050"/>
        <bgColor rgb="FF008080"/>
      </patternFill>
    </fill>
    <fill>
      <patternFill patternType="solid">
        <fgColor rgb="FFFF8C00"/>
        <bgColor rgb="FFBF8F00"/>
      </patternFill>
    </fill>
    <fill>
      <patternFill patternType="solid">
        <fgColor rgb="FF7030A0"/>
        <bgColor rgb="FF403152"/>
      </patternFill>
    </fill>
    <fill>
      <patternFill patternType="solid">
        <fgColor rgb="FF008080"/>
        <bgColor rgb="FF2E75B6"/>
      </patternFill>
    </fill>
    <fill>
      <patternFill patternType="solid">
        <fgColor rgb="FFFCE4E4"/>
        <bgColor rgb="FFFCE8E6"/>
      </patternFill>
    </fill>
    <fill>
      <patternFill patternType="solid">
        <fgColor rgb="FFFFF2CC"/>
        <bgColor rgb="FFFFF3D1"/>
      </patternFill>
    </fill>
    <fill>
      <patternFill patternType="solid">
        <fgColor rgb="FFDDEBF7"/>
        <bgColor rgb="FFE3ECF9"/>
      </patternFill>
    </fill>
    <fill>
      <patternFill patternType="solid">
        <fgColor rgb="FFD6E4F0"/>
        <bgColor rgb="FFD9E2F5"/>
      </patternFill>
    </fill>
    <fill>
      <patternFill patternType="solid">
        <fgColor rgb="FF5B9BD5"/>
        <bgColor rgb="FF2E75B6"/>
      </patternFill>
    </fill>
    <fill>
      <patternFill patternType="solid">
        <fgColor rgb="FFF2CCFF"/>
        <bgColor rgb="FFFFE0E0"/>
      </patternFill>
    </fill>
    <fill>
      <patternFill patternType="solid">
        <fgColor rgb="FFD6EEF0"/>
        <bgColor rgb="FFDDEBF7"/>
      </patternFill>
    </fill>
    <fill>
      <patternFill patternType="solid">
        <fgColor rgb="FFFCE4D6"/>
        <bgColor rgb="FFFCE4E4"/>
      </patternFill>
    </fill>
    <fill>
      <patternFill patternType="solid">
        <fgColor rgb="FFFFE0E0"/>
        <bgColor rgb="FFFCE4E4"/>
      </patternFill>
    </fill>
    <fill>
      <patternFill patternType="solid">
        <fgColor rgb="FFBF8F00"/>
        <bgColor rgb="FFFF8C00"/>
      </patternFill>
    </fill>
    <fill>
      <patternFill patternType="solid">
        <fgColor rgb="FF548235"/>
        <bgColor rgb="FF595959"/>
      </patternFill>
    </fill>
    <fill>
      <patternFill patternType="solid">
        <fgColor rgb="FFC00000"/>
        <bgColor rgb="FF800000"/>
      </patternFill>
    </fill>
  </fills>
  <borders count="6">
    <border diagonalUp="false" diagonalDown="false">
      <left/>
      <right/>
      <top/>
      <bottom/>
      <diagonal/>
    </border>
    <border diagonalUp="false" diagonalDown="false">
      <left style="thin">
        <color rgb="FF1A3F90"/>
      </left>
      <right style="thin">
        <color rgb="FF1A3F90"/>
      </right>
      <top style="thin">
        <color rgb="FF1A3F90"/>
      </top>
      <bottom style="thin">
        <color rgb="FF1A3F90"/>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C9E0"/>
      </left>
      <right style="thin">
        <color rgb="FFBFC9E0"/>
      </right>
      <top style="thin">
        <color rgb="FFBFC9E0"/>
      </top>
      <bottom style="thin">
        <color rgb="FFBFC9E0"/>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1" shrinkToFit="false"/>
      <protection locked="true" hidden="false"/>
    </xf>
    <xf numFmtId="164" fontId="8" fillId="3" borderId="1" xfId="0" applyFont="true" applyBorder="true" applyAlignment="true" applyProtection="false">
      <alignment horizontal="general" vertical="center" textRotation="0" wrapText="true" indent="1" shrinkToFit="false"/>
      <protection locked="true" hidden="false"/>
    </xf>
    <xf numFmtId="164" fontId="9" fillId="3" borderId="0" xfId="0" applyFont="true" applyBorder="false" applyAlignment="true" applyProtection="false">
      <alignment horizontal="general" vertical="center" textRotation="0" wrapText="true" indent="1"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left" vertical="center" textRotation="0" wrapText="false" indent="0" shrinkToFit="false"/>
      <protection locked="true" hidden="false"/>
    </xf>
    <xf numFmtId="164" fontId="17" fillId="5" borderId="2" xfId="0" applyFont="true" applyBorder="true" applyAlignment="true" applyProtection="false">
      <alignment horizontal="left" vertical="center" textRotation="0" wrapText="tru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left" vertical="bottom"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bottom" textRotation="0" wrapText="false" indent="0" shrinkToFit="false"/>
      <protection locked="true" hidden="false"/>
    </xf>
    <xf numFmtId="164" fontId="24" fillId="2" borderId="0" xfId="0" applyFont="true" applyBorder="true" applyAlignment="true" applyProtection="false">
      <alignment horizontal="general" vertical="bottom" textRotation="0" wrapText="false" indent="0" shrinkToFit="false"/>
      <protection locked="true" hidden="false"/>
    </xf>
    <xf numFmtId="164" fontId="25" fillId="2" borderId="0" xfId="0" applyFont="true" applyBorder="true" applyAlignment="true" applyProtection="false">
      <alignment horizontal="general" vertical="bottom" textRotation="0" wrapText="false" indent="0" shrinkToFit="false"/>
      <protection locked="true" hidden="false"/>
    </xf>
    <xf numFmtId="164" fontId="26" fillId="6" borderId="3" xfId="0" applyFont="true" applyBorder="true" applyAlignment="true" applyProtection="false">
      <alignment horizontal="general" vertical="top" textRotation="0" wrapText="true" indent="0" shrinkToFit="false"/>
      <protection locked="true" hidden="false"/>
    </xf>
    <xf numFmtId="164" fontId="27" fillId="0" borderId="3" xfId="0" applyFont="true" applyBorder="true" applyAlignment="true" applyProtection="false">
      <alignment horizontal="general" vertical="top" textRotation="0" wrapText="tru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4" fontId="29" fillId="4" borderId="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8" fillId="7" borderId="2" xfId="0" applyFont="true" applyBorder="true" applyAlignment="true" applyProtection="false">
      <alignment horizontal="center" vertical="center" textRotation="0" wrapText="true" indent="0" shrinkToFit="false"/>
      <protection locked="true" hidden="false"/>
    </xf>
    <xf numFmtId="164" fontId="31" fillId="8" borderId="2" xfId="0" applyFont="true" applyBorder="true" applyAlignment="true" applyProtection="false">
      <alignment horizontal="center" vertical="center" textRotation="0" wrapText="true" indent="0" shrinkToFit="false"/>
      <protection locked="true" hidden="false"/>
    </xf>
    <xf numFmtId="164" fontId="32" fillId="8" borderId="2" xfId="0" applyFont="true" applyBorder="true" applyAlignment="true" applyProtection="false">
      <alignment horizontal="center" vertical="center" textRotation="0" wrapText="true" indent="0" shrinkToFit="false"/>
      <protection locked="true" hidden="false"/>
    </xf>
    <xf numFmtId="164" fontId="31" fillId="9" borderId="2" xfId="0" applyFont="true" applyBorder="true" applyAlignment="true" applyProtection="false">
      <alignment horizontal="center" vertical="center" textRotation="0" wrapText="true" indent="0" shrinkToFit="false"/>
      <protection locked="true" hidden="false"/>
    </xf>
    <xf numFmtId="164" fontId="32" fillId="9" borderId="2" xfId="0" applyFont="true" applyBorder="true" applyAlignment="true" applyProtection="false">
      <alignment horizontal="center" vertical="center" textRotation="0" wrapText="true" indent="0" shrinkToFit="false"/>
      <protection locked="true" hidden="false"/>
    </xf>
    <xf numFmtId="164" fontId="28" fillId="9" borderId="2" xfId="0" applyFont="true" applyBorder="true" applyAlignment="true" applyProtection="false">
      <alignment horizontal="center" vertical="center" textRotation="0" wrapText="true" indent="0" shrinkToFit="false"/>
      <protection locked="true" hidden="false"/>
    </xf>
    <xf numFmtId="164" fontId="33" fillId="0" borderId="2" xfId="0" applyFont="true" applyBorder="true" applyAlignment="true" applyProtection="false">
      <alignment horizontal="center" vertical="center" textRotation="0" wrapText="false" indent="0" shrinkToFit="false"/>
      <protection locked="true" hidden="false"/>
    </xf>
    <xf numFmtId="164" fontId="34" fillId="10" borderId="2" xfId="0" applyFont="true" applyBorder="true" applyAlignment="true" applyProtection="false">
      <alignment horizontal="general" vertical="top" textRotation="0" wrapText="true" indent="0" shrinkToFit="false"/>
      <protection locked="true" hidden="false"/>
    </xf>
    <xf numFmtId="164" fontId="34" fillId="0" borderId="2" xfId="0" applyFont="true" applyBorder="true" applyAlignment="true" applyProtection="false">
      <alignment horizontal="general" vertical="top" textRotation="0" wrapText="true" indent="0" shrinkToFit="false"/>
      <protection locked="true" hidden="false"/>
    </xf>
    <xf numFmtId="164" fontId="34" fillId="4" borderId="2" xfId="0" applyFont="true" applyBorder="true" applyAlignment="true" applyProtection="false">
      <alignment horizontal="general" vertical="top" textRotation="0" wrapText="true" indent="0" shrinkToFit="false"/>
      <protection locked="true" hidden="false"/>
    </xf>
    <xf numFmtId="164" fontId="34" fillId="11" borderId="2" xfId="0" applyFont="true" applyBorder="true" applyAlignment="true" applyProtection="false">
      <alignment horizontal="general" vertical="top" textRotation="0" wrapText="true" indent="0" shrinkToFit="false"/>
      <protection locked="true" hidden="false"/>
    </xf>
    <xf numFmtId="164" fontId="34" fillId="12" borderId="2" xfId="0" applyFont="true" applyBorder="true" applyAlignment="true" applyProtection="false">
      <alignment horizontal="general" vertical="top" textRotation="0" wrapText="true" indent="0" shrinkToFit="false"/>
      <protection locked="true" hidden="false"/>
    </xf>
    <xf numFmtId="164" fontId="34" fillId="13" borderId="2" xfId="0" applyFont="true" applyBorder="true" applyAlignment="true" applyProtection="false">
      <alignment horizontal="general" vertical="top" textRotation="0" wrapText="true" indent="0" shrinkToFit="false"/>
      <protection locked="true" hidden="false"/>
    </xf>
    <xf numFmtId="164" fontId="35" fillId="11" borderId="2" xfId="0" applyFont="true" applyBorder="true" applyAlignment="true" applyProtection="false">
      <alignment horizontal="center" vertical="center" textRotation="0" wrapText="true" indent="0" shrinkToFit="false"/>
      <protection locked="true" hidden="false"/>
    </xf>
    <xf numFmtId="164" fontId="36" fillId="14" borderId="4" xfId="0" applyFont="true" applyBorder="true" applyAlignment="true" applyProtection="false">
      <alignment horizontal="center" vertical="center" textRotation="0" wrapText="true" indent="0" shrinkToFit="false"/>
      <protection locked="true" hidden="false"/>
    </xf>
    <xf numFmtId="164" fontId="37" fillId="15" borderId="4" xfId="0" applyFont="true" applyBorder="true" applyAlignment="true" applyProtection="false">
      <alignment horizontal="left" vertical="center" textRotation="0" wrapText="true" indent="0" shrinkToFit="false"/>
      <protection locked="true" hidden="false"/>
    </xf>
    <xf numFmtId="164" fontId="37" fillId="8" borderId="4" xfId="0" applyFont="true" applyBorder="true" applyAlignment="true" applyProtection="false">
      <alignment horizontal="left" vertical="center" textRotation="0" wrapText="true" indent="0" shrinkToFit="false"/>
      <protection locked="true" hidden="false"/>
    </xf>
    <xf numFmtId="164" fontId="37" fillId="9" borderId="4" xfId="0" applyFont="true" applyBorder="true" applyAlignment="true" applyProtection="false">
      <alignment horizontal="left" vertical="center" textRotation="0" wrapText="true" indent="0" shrinkToFit="false"/>
      <protection locked="true" hidden="false"/>
    </xf>
    <xf numFmtId="164" fontId="34" fillId="10" borderId="2" xfId="0" applyFont="true" applyBorder="true" applyAlignment="true" applyProtection="false">
      <alignment horizontal="left" vertical="top" textRotation="0" wrapText="true" indent="0" shrinkToFit="false"/>
      <protection locked="true" hidden="false"/>
    </xf>
    <xf numFmtId="164" fontId="33" fillId="0" borderId="2" xfId="0" applyFont="true" applyBorder="true" applyAlignment="true" applyProtection="false">
      <alignment horizontal="center" vertical="top" textRotation="0" wrapText="true" indent="0" shrinkToFit="false"/>
      <protection locked="true" hidden="false"/>
    </xf>
    <xf numFmtId="164" fontId="34" fillId="0" borderId="2" xfId="0" applyFont="true" applyBorder="true" applyAlignment="true" applyProtection="false">
      <alignment horizontal="left" vertical="top" textRotation="0" wrapText="true" indent="0" shrinkToFit="false"/>
      <protection locked="true" hidden="false"/>
    </xf>
    <xf numFmtId="164" fontId="34" fillId="0" borderId="2" xfId="0" applyFont="true" applyBorder="true" applyAlignment="true" applyProtection="false">
      <alignment horizontal="center" vertical="top" textRotation="0" wrapText="true" indent="0" shrinkToFit="false"/>
      <protection locked="true" hidden="false"/>
    </xf>
    <xf numFmtId="164" fontId="34" fillId="4" borderId="2" xfId="0" applyFont="true" applyBorder="true" applyAlignment="true" applyProtection="false">
      <alignment horizontal="center" vertical="top" textRotation="0" wrapText="true" indent="0" shrinkToFit="false"/>
      <protection locked="true" hidden="false"/>
    </xf>
    <xf numFmtId="164" fontId="34" fillId="4" borderId="2" xfId="0" applyFont="true" applyBorder="true" applyAlignment="true" applyProtection="false">
      <alignment horizontal="left" vertical="top" textRotation="0" wrapText="true" indent="0" shrinkToFit="false"/>
      <protection locked="true" hidden="false"/>
    </xf>
    <xf numFmtId="164" fontId="34" fillId="11" borderId="2" xfId="0" applyFont="true" applyBorder="true" applyAlignment="true" applyProtection="false">
      <alignment horizontal="left" vertical="top" textRotation="0" wrapText="true" indent="0" shrinkToFit="false"/>
      <protection locked="true" hidden="false"/>
    </xf>
    <xf numFmtId="164" fontId="34" fillId="12" borderId="2" xfId="0" applyFont="true" applyBorder="true" applyAlignment="true" applyProtection="false">
      <alignment horizontal="left" vertical="top" textRotation="0" wrapText="true" indent="0" shrinkToFit="false"/>
      <protection locked="true" hidden="false"/>
    </xf>
    <xf numFmtId="164" fontId="34" fillId="13" borderId="2" xfId="0" applyFont="true" applyBorder="true" applyAlignment="true" applyProtection="false">
      <alignment horizontal="left" vertical="top" textRotation="0" wrapText="true" indent="0" shrinkToFit="false"/>
      <protection locked="true" hidden="false"/>
    </xf>
    <xf numFmtId="164" fontId="35" fillId="8" borderId="2" xfId="0" applyFont="true" applyBorder="true" applyAlignment="true" applyProtection="false">
      <alignment horizontal="center" vertical="center" textRotation="0" wrapText="true" indent="0" shrinkToFit="false"/>
      <protection locked="true" hidden="false"/>
    </xf>
    <xf numFmtId="164" fontId="35" fillId="9" borderId="2" xfId="0" applyFont="true" applyBorder="true" applyAlignment="true" applyProtection="false">
      <alignment horizontal="center" vertical="center" textRotation="0" wrapText="true" indent="0" shrinkToFit="false"/>
      <protection locked="true" hidden="false"/>
    </xf>
    <xf numFmtId="164" fontId="33" fillId="5" borderId="2" xfId="0" applyFont="true" applyBorder="true" applyAlignment="true" applyProtection="false">
      <alignment horizontal="general" vertical="bottom" textRotation="0" wrapText="false" indent="0" shrinkToFit="false"/>
      <protection locked="true" hidden="false"/>
    </xf>
    <xf numFmtId="164" fontId="38" fillId="2" borderId="0" xfId="0" applyFont="true" applyBorder="true" applyAlignment="true" applyProtection="false">
      <alignment horizontal="center" vertical="center" textRotation="0" wrapText="false" indent="0" shrinkToFit="false"/>
      <protection locked="true" hidden="false"/>
    </xf>
    <xf numFmtId="164" fontId="39" fillId="4" borderId="0" xfId="0" applyFont="true" applyBorder="tru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16" borderId="2" xfId="0" applyFont="true" applyBorder="true" applyAlignment="true" applyProtection="false">
      <alignment horizontal="general" vertical="bottom" textRotation="0" wrapText="false" indent="0" shrinkToFit="false"/>
      <protection locked="true" hidden="false"/>
    </xf>
    <xf numFmtId="164" fontId="43" fillId="7" borderId="2" xfId="0" applyFont="true" applyBorder="true" applyAlignment="true" applyProtection="false">
      <alignment horizontal="center" vertical="center" textRotation="0" wrapText="true" indent="0" shrinkToFit="false"/>
      <protection locked="true" hidden="false"/>
    </xf>
    <xf numFmtId="164" fontId="0" fillId="17" borderId="2" xfId="0" applyFont="true" applyBorder="tru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center" textRotation="0" wrapText="false" indent="1" shrinkToFit="false"/>
      <protection locked="true" hidden="false"/>
    </xf>
    <xf numFmtId="164" fontId="44" fillId="2" borderId="0" xfId="0" applyFont="true" applyBorder="true" applyAlignment="true" applyProtection="false">
      <alignment horizontal="center" vertical="center" textRotation="0" wrapText="false" indent="0" shrinkToFit="false"/>
      <protection locked="true" hidden="false"/>
    </xf>
    <xf numFmtId="164" fontId="45" fillId="4" borderId="2" xfId="0" applyFont="true" applyBorder="true" applyAlignment="true" applyProtection="false">
      <alignment horizontal="general" vertical="top" textRotation="0" wrapText="true" indent="0" shrinkToFit="false"/>
      <protection locked="true" hidden="false"/>
    </xf>
    <xf numFmtId="164" fontId="46" fillId="0" borderId="2" xfId="0" applyFont="true" applyBorder="true" applyAlignment="true" applyProtection="false">
      <alignment horizontal="general" vertical="top" textRotation="0" wrapText="tru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3" fillId="18" borderId="2" xfId="0" applyFont="true" applyBorder="true" applyAlignment="true" applyProtection="false">
      <alignment horizontal="center" vertical="center" textRotation="0" wrapText="true" indent="0" shrinkToFit="false"/>
      <protection locked="true" hidden="false"/>
    </xf>
    <xf numFmtId="164" fontId="43" fillId="19" borderId="2" xfId="0" applyFont="true" applyBorder="true" applyAlignment="true" applyProtection="false">
      <alignment horizontal="center" vertical="center" textRotation="0" wrapText="true" indent="0" shrinkToFit="false"/>
      <protection locked="true" hidden="false"/>
    </xf>
    <xf numFmtId="164" fontId="43" fillId="11" borderId="2" xfId="0" applyFont="true" applyBorder="true" applyAlignment="true" applyProtection="false">
      <alignment horizontal="center" vertical="center" textRotation="0" wrapText="true" indent="0" shrinkToFit="false"/>
      <protection locked="true" hidden="false"/>
    </xf>
    <xf numFmtId="164" fontId="43" fillId="4" borderId="2" xfId="0" applyFont="true" applyBorder="true" applyAlignment="true" applyProtection="false">
      <alignment horizontal="center" vertical="center" textRotation="0" wrapText="true" indent="0" shrinkToFit="false"/>
      <protection locked="true" hidden="false"/>
    </xf>
    <xf numFmtId="164" fontId="48" fillId="10" borderId="2" xfId="0" applyFont="true" applyBorder="true" applyAlignment="true" applyProtection="false">
      <alignment horizontal="general" vertical="top" textRotation="0" wrapText="true" indent="0" shrinkToFit="false"/>
      <protection locked="true" hidden="false"/>
    </xf>
    <xf numFmtId="164" fontId="31" fillId="0" borderId="2" xfId="0" applyFont="true" applyBorder="true" applyAlignment="true" applyProtection="false">
      <alignment horizontal="general" vertical="top" textRotation="0" wrapText="true" indent="0" shrinkToFit="false"/>
      <protection locked="true" hidden="false"/>
    </xf>
    <xf numFmtId="164" fontId="48" fillId="0" borderId="2" xfId="0" applyFont="true" applyBorder="true" applyAlignment="true" applyProtection="false">
      <alignment horizontal="general" vertical="top" textRotation="0" wrapText="true" indent="0" shrinkToFit="false"/>
      <protection locked="true" hidden="false"/>
    </xf>
    <xf numFmtId="164" fontId="48" fillId="4" borderId="2" xfId="0" applyFont="true" applyBorder="true" applyAlignment="true" applyProtection="false">
      <alignment horizontal="general" vertical="top" textRotation="0" wrapText="true" indent="0" shrinkToFit="false"/>
      <protection locked="true" hidden="false"/>
    </xf>
    <xf numFmtId="164" fontId="48" fillId="11" borderId="2" xfId="0" applyFont="true" applyBorder="true" applyAlignment="true" applyProtection="false">
      <alignment horizontal="general" vertical="top" textRotation="0" wrapText="true" indent="0" shrinkToFit="false"/>
      <protection locked="true" hidden="false"/>
    </xf>
    <xf numFmtId="164" fontId="48" fillId="12" borderId="2" xfId="0" applyFont="true" applyBorder="true" applyAlignment="true" applyProtection="false">
      <alignment horizontal="general" vertical="top" textRotation="0" wrapText="true" indent="0" shrinkToFit="false"/>
      <protection locked="true" hidden="false"/>
    </xf>
    <xf numFmtId="164" fontId="48" fillId="13" borderId="2" xfId="0" applyFont="true" applyBorder="true" applyAlignment="true" applyProtection="false">
      <alignment horizontal="general" vertical="top" textRotation="0" wrapText="true" indent="0" shrinkToFit="false"/>
      <protection locked="true" hidden="false"/>
    </xf>
    <xf numFmtId="164" fontId="49" fillId="4" borderId="2" xfId="0" applyFont="true" applyBorder="true" applyAlignment="true" applyProtection="false">
      <alignment horizontal="general" vertical="top" textRotation="0" wrapText="true" indent="0" shrinkToFit="false"/>
      <protection locked="true" hidden="false"/>
    </xf>
    <xf numFmtId="164" fontId="50" fillId="0" borderId="2" xfId="0" applyFont="true" applyBorder="true" applyAlignment="true" applyProtection="false">
      <alignment horizontal="general" vertical="top" textRotation="0" wrapText="true" indent="0" shrinkToFit="false"/>
      <protection locked="true" hidden="false"/>
    </xf>
    <xf numFmtId="164" fontId="51" fillId="2" borderId="0" xfId="0" applyFont="true" applyBorder="true" applyAlignment="true" applyProtection="false">
      <alignment horizontal="general" vertical="center" textRotation="0" wrapText="false" indent="1" shrinkToFit="false"/>
      <protection locked="true" hidden="false"/>
    </xf>
    <xf numFmtId="164" fontId="52" fillId="0" borderId="4" xfId="0" applyFont="true" applyBorder="true" applyAlignment="true" applyProtection="false">
      <alignment horizontal="left" vertical="center" textRotation="0" wrapText="true" indent="0" shrinkToFit="false"/>
      <protection locked="true" hidden="false"/>
    </xf>
    <xf numFmtId="164" fontId="37" fillId="0" borderId="4" xfId="0" applyFont="true" applyBorder="true" applyAlignment="true" applyProtection="false">
      <alignment horizontal="left" vertical="center" textRotation="0" wrapText="true" indent="0" shrinkToFit="false"/>
      <protection locked="true" hidden="false"/>
    </xf>
    <xf numFmtId="164" fontId="38" fillId="20" borderId="0" xfId="0" applyFont="true" applyBorder="true" applyAlignment="true" applyProtection="false">
      <alignment horizontal="center" vertical="center" textRotation="0" wrapText="true" indent="0" shrinkToFit="false"/>
      <protection locked="true" hidden="false"/>
    </xf>
    <xf numFmtId="164" fontId="53" fillId="15" borderId="0" xfId="0" applyFont="true" applyBorder="true" applyAlignment="true" applyProtection="false">
      <alignment horizontal="left" vertical="center" textRotation="0" wrapText="true" indent="0" shrinkToFit="false"/>
      <protection locked="true" hidden="false"/>
    </xf>
    <xf numFmtId="164" fontId="51" fillId="14" borderId="5" xfId="0" applyFont="true" applyBorder="true" applyAlignment="true" applyProtection="false">
      <alignment horizontal="left" vertical="center" textRotation="0" wrapText="true" indent="0" shrinkToFit="false"/>
      <protection locked="true" hidden="false"/>
    </xf>
    <xf numFmtId="164" fontId="54" fillId="21" borderId="5" xfId="0" applyFont="true" applyBorder="true" applyAlignment="true" applyProtection="false">
      <alignment horizontal="center" vertical="center" textRotation="0" wrapText="true" indent="0" shrinkToFit="false"/>
      <protection locked="true" hidden="false"/>
    </xf>
    <xf numFmtId="164" fontId="55" fillId="21" borderId="5" xfId="0" applyFont="true" applyBorder="true" applyAlignment="true" applyProtection="false">
      <alignment horizontal="left" vertical="center" textRotation="0" wrapText="true" indent="0" shrinkToFit="false"/>
      <protection locked="true" hidden="false"/>
    </xf>
    <xf numFmtId="164" fontId="55" fillId="22" borderId="5" xfId="0" applyFont="true" applyBorder="true" applyAlignment="true" applyProtection="false">
      <alignment horizontal="center" vertical="center" textRotation="0" wrapText="true" indent="0" shrinkToFit="false"/>
      <protection locked="true" hidden="false"/>
    </xf>
    <xf numFmtId="164" fontId="54" fillId="15" borderId="5" xfId="0" applyFont="true" applyBorder="true" applyAlignment="true" applyProtection="false">
      <alignment horizontal="center" vertical="center" textRotation="0" wrapText="true" indent="0" shrinkToFit="false"/>
      <protection locked="true" hidden="false"/>
    </xf>
    <xf numFmtId="164" fontId="55" fillId="15" borderId="5" xfId="0" applyFont="true" applyBorder="true" applyAlignment="true" applyProtection="false">
      <alignment horizontal="left" vertical="center" textRotation="0" wrapText="true" indent="0" shrinkToFit="false"/>
      <protection locked="true" hidden="false"/>
    </xf>
    <xf numFmtId="164" fontId="51" fillId="23" borderId="5" xfId="0" applyFont="true" applyBorder="true" applyAlignment="true" applyProtection="false">
      <alignment horizontal="left" vertical="center" textRotation="0" wrapText="true" indent="0" shrinkToFit="false"/>
      <protection locked="true" hidden="false"/>
    </xf>
    <xf numFmtId="164" fontId="51" fillId="24" borderId="5" xfId="0" applyFont="true" applyBorder="true" applyAlignment="true" applyProtection="false">
      <alignment horizontal="left" vertical="center" textRotation="0" wrapText="true" indent="0" shrinkToFit="false"/>
      <protection locked="true" hidden="false"/>
    </xf>
    <xf numFmtId="164" fontId="51" fillId="25" borderId="5" xfId="0" applyFont="true" applyBorder="true" applyAlignment="true" applyProtection="false">
      <alignment horizontal="left" vertical="center" textRotation="0" wrapText="tru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44" fillId="20" borderId="0" xfId="0" applyFont="true" applyBorder="true" applyAlignment="true" applyProtection="false">
      <alignment horizontal="center" vertical="center" textRotation="0" wrapText="true" indent="0" shrinkToFit="false"/>
      <protection locked="true" hidden="false"/>
    </xf>
    <xf numFmtId="164" fontId="57" fillId="15" borderId="0" xfId="0" applyFont="true" applyBorder="true" applyAlignment="true" applyProtection="false">
      <alignment horizontal="general" vertical="center" textRotation="0" wrapText="true" indent="0" shrinkToFit="false"/>
      <protection locked="true" hidden="false"/>
    </xf>
    <xf numFmtId="164" fontId="58" fillId="15" borderId="5" xfId="0" applyFont="true" applyBorder="true" applyAlignment="true" applyProtection="false">
      <alignment horizontal="left" vertical="top" textRotation="0" wrapText="true" indent="0" shrinkToFit="false"/>
      <protection locked="true" hidden="false"/>
    </xf>
    <xf numFmtId="164" fontId="55" fillId="15" borderId="5" xfId="0" applyFont="true" applyBorder="true" applyAlignment="true" applyProtection="false">
      <alignment horizontal="left" vertical="top" textRotation="0" wrapText="true" indent="0" shrinkToFit="false"/>
      <protection locked="true" hidden="false"/>
    </xf>
    <xf numFmtId="164" fontId="58" fillId="21" borderId="5" xfId="0" applyFont="true" applyBorder="true" applyAlignment="true" applyProtection="false">
      <alignment horizontal="left" vertical="top" textRotation="0" wrapText="true" indent="0" shrinkToFit="false"/>
      <protection locked="true" hidden="false"/>
    </xf>
    <xf numFmtId="164" fontId="55" fillId="21" borderId="5" xfId="0" applyFont="true" applyBorder="true" applyAlignment="true" applyProtection="false">
      <alignment horizontal="left" vertical="top" textRotation="0" wrapText="true" indent="0" shrinkToFit="false"/>
      <protection locked="true" hidden="false"/>
    </xf>
    <xf numFmtId="164" fontId="51" fillId="26" borderId="5" xfId="0" applyFont="true" applyBorder="true" applyAlignment="true" applyProtection="false">
      <alignment horizontal="left" vertical="center" textRotation="0" wrapText="true" indent="0" shrinkToFit="false"/>
      <protection locked="true" hidden="false"/>
    </xf>
    <xf numFmtId="164" fontId="57" fillId="15" borderId="0" xfId="0" applyFont="true" applyBorder="true" applyAlignment="true" applyProtection="false">
      <alignment horizontal="left" vertical="center" textRotation="0" wrapText="true" indent="0" shrinkToFit="false"/>
      <protection locked="true" hidden="false"/>
    </xf>
    <xf numFmtId="164" fontId="59" fillId="27" borderId="0" xfId="0" applyFont="true" applyBorder="true" applyAlignment="true" applyProtection="false">
      <alignment horizontal="left" vertical="center" textRotation="0" wrapText="true" indent="0" shrinkToFit="false"/>
      <protection locked="true" hidden="false"/>
    </xf>
    <xf numFmtId="164" fontId="52" fillId="0" borderId="4" xfId="0" applyFont="true" applyBorder="true" applyAlignment="true" applyProtection="false">
      <alignment horizontal="center" vertical="center" textRotation="0" wrapText="true" indent="0" shrinkToFit="false"/>
      <protection locked="true" hidden="false"/>
    </xf>
    <xf numFmtId="164" fontId="37" fillId="28" borderId="4" xfId="0" applyFont="true" applyBorder="true" applyAlignment="true" applyProtection="false">
      <alignment horizontal="left" vertical="center" textRotation="0" wrapText="true" indent="0" shrinkToFit="false"/>
      <protection locked="true" hidden="false"/>
    </xf>
    <xf numFmtId="164" fontId="37" fillId="29" borderId="4" xfId="0" applyFont="true" applyBorder="true" applyAlignment="true" applyProtection="false">
      <alignment horizontal="left" vertical="center" textRotation="0" wrapText="true" indent="0" shrinkToFit="false"/>
      <protection locked="true" hidden="false"/>
    </xf>
    <xf numFmtId="164" fontId="37" fillId="22" borderId="4" xfId="0" applyFont="true" applyBorder="true" applyAlignment="true" applyProtection="false">
      <alignment horizontal="left" vertical="center" textRotation="0" wrapText="true" indent="0" shrinkToFit="false"/>
      <protection locked="true" hidden="false"/>
    </xf>
    <xf numFmtId="164" fontId="56" fillId="30" borderId="5" xfId="0" applyFont="true" applyBorder="true" applyAlignment="true" applyProtection="false">
      <alignment horizontal="left" vertical="center" textRotation="0" wrapText="true" indent="0" shrinkToFit="false"/>
      <protection locked="true" hidden="false"/>
    </xf>
    <xf numFmtId="164" fontId="60" fillId="21" borderId="5" xfId="0" applyFont="true" applyBorder="true" applyAlignment="true" applyProtection="false">
      <alignment horizontal="left" vertical="center" textRotation="0" wrapText="true" indent="0" shrinkToFit="false"/>
      <protection locked="true" hidden="false"/>
    </xf>
    <xf numFmtId="164" fontId="61" fillId="14" borderId="0" xfId="0" applyFont="true" applyBorder="true" applyAlignment="true" applyProtection="false">
      <alignment horizontal="center" vertical="center" textRotation="0" wrapText="true" indent="0" shrinkToFit="false"/>
      <protection locked="true" hidden="false"/>
    </xf>
    <xf numFmtId="164" fontId="36" fillId="31" borderId="5" xfId="0" applyFont="true" applyBorder="true" applyAlignment="true" applyProtection="false">
      <alignment horizontal="center" vertical="center" textRotation="0" wrapText="true" indent="0" shrinkToFit="false"/>
      <protection locked="true" hidden="false"/>
    </xf>
    <xf numFmtId="164" fontId="43" fillId="14" borderId="5" xfId="0" applyFont="true" applyBorder="true" applyAlignment="true" applyProtection="false">
      <alignment horizontal="left" vertical="center" textRotation="0" wrapText="true" indent="0" shrinkToFit="false"/>
      <protection locked="true" hidden="false"/>
    </xf>
    <xf numFmtId="164" fontId="55" fillId="15" borderId="5" xfId="0" applyFont="true" applyBorder="true" applyAlignment="true" applyProtection="false">
      <alignment horizontal="center" vertical="top" textRotation="0" wrapText="true" indent="0" shrinkToFit="false"/>
      <protection locked="true" hidden="false"/>
    </xf>
    <xf numFmtId="164" fontId="58" fillId="30" borderId="5" xfId="0" applyFont="true" applyBorder="true" applyAlignment="true" applyProtection="false">
      <alignment horizontal="center" vertical="top" textRotation="0" wrapText="true" indent="0" shrinkToFit="false"/>
      <protection locked="true" hidden="false"/>
    </xf>
    <xf numFmtId="164" fontId="55" fillId="28" borderId="5" xfId="0" applyFont="true" applyBorder="true" applyAlignment="true" applyProtection="false">
      <alignment horizontal="center" vertical="top" textRotation="0" wrapText="true" indent="0" shrinkToFit="false"/>
      <protection locked="true" hidden="false"/>
    </xf>
    <xf numFmtId="164" fontId="55" fillId="30" borderId="5" xfId="0" applyFont="true" applyBorder="true" applyAlignment="true" applyProtection="false">
      <alignment horizontal="center" vertical="top" textRotation="0" wrapText="true" indent="0" shrinkToFit="false"/>
      <protection locked="true" hidden="false"/>
    </xf>
    <xf numFmtId="164" fontId="55" fillId="22" borderId="5" xfId="0" applyFont="true" applyBorder="true" applyAlignment="true" applyProtection="false">
      <alignment horizontal="center" vertical="top" textRotation="0" wrapText="true" indent="0" shrinkToFit="false"/>
      <protection locked="true" hidden="false"/>
    </xf>
    <xf numFmtId="164" fontId="58" fillId="32" borderId="5" xfId="0" applyFont="true" applyBorder="true" applyAlignment="true" applyProtection="false">
      <alignment horizontal="center" vertical="top" textRotation="0" wrapText="true" indent="0" shrinkToFit="false"/>
      <protection locked="true" hidden="false"/>
    </xf>
    <xf numFmtId="164" fontId="43" fillId="31" borderId="5" xfId="0" applyFont="true" applyBorder="true" applyAlignment="true" applyProtection="false">
      <alignment horizontal="left" vertical="center" textRotation="0" wrapText="true" indent="0" shrinkToFit="false"/>
      <protection locked="true" hidden="false"/>
    </xf>
    <xf numFmtId="164" fontId="58" fillId="33" borderId="5" xfId="0" applyFont="true" applyBorder="true" applyAlignment="true" applyProtection="false">
      <alignment horizontal="center" vertical="top" textRotation="0" wrapText="true" indent="0" shrinkToFit="false"/>
      <protection locked="true" hidden="false"/>
    </xf>
    <xf numFmtId="164" fontId="58" fillId="34" borderId="5" xfId="0" applyFont="true" applyBorder="true" applyAlignment="true" applyProtection="false">
      <alignment horizontal="center" vertical="top" textRotation="0" wrapText="true" indent="0" shrinkToFit="false"/>
      <protection locked="true" hidden="false"/>
    </xf>
    <xf numFmtId="164" fontId="58" fillId="22" borderId="5" xfId="0" applyFont="true" applyBorder="true" applyAlignment="true" applyProtection="false">
      <alignment horizontal="center" vertical="top" textRotation="0" wrapText="true" indent="0" shrinkToFit="false"/>
      <protection locked="true" hidden="false"/>
    </xf>
    <xf numFmtId="164" fontId="58" fillId="35" borderId="5" xfId="0" applyFont="true" applyBorder="true" applyAlignment="true" applyProtection="false">
      <alignment horizontal="center" vertical="top" textRotation="0" wrapText="true" indent="0" shrinkToFit="false"/>
      <protection locked="true" hidden="false"/>
    </xf>
    <xf numFmtId="164" fontId="58" fillId="28" borderId="5" xfId="0" applyFont="true" applyBorder="true" applyAlignment="true" applyProtection="false">
      <alignment horizontal="center" vertical="top" textRotation="0" wrapText="true" indent="0" shrinkToFit="false"/>
      <protection locked="true" hidden="false"/>
    </xf>
    <xf numFmtId="164" fontId="51" fillId="20" borderId="0" xfId="0" applyFont="true" applyBorder="true" applyAlignment="true" applyProtection="false">
      <alignment horizontal="left" vertical="center" textRotation="0" wrapText="true" indent="0" shrinkToFit="false"/>
      <protection locked="true" hidden="false"/>
    </xf>
    <xf numFmtId="164" fontId="60" fillId="15" borderId="5" xfId="0" applyFont="true" applyBorder="true" applyAlignment="true" applyProtection="false">
      <alignment horizontal="left" vertical="center" textRotation="0" wrapText="true" indent="0" shrinkToFit="false"/>
      <protection locked="true" hidden="false"/>
    </xf>
    <xf numFmtId="164" fontId="37" fillId="0" borderId="0" xfId="0" applyFont="true" applyBorder="true" applyAlignment="true" applyProtection="false">
      <alignment horizontal="general" vertical="center" textRotation="0" wrapText="true" indent="0" shrinkToFit="false"/>
      <protection locked="true" hidden="false"/>
    </xf>
    <xf numFmtId="164" fontId="62" fillId="21" borderId="4" xfId="0" applyFont="true" applyBorder="true" applyAlignment="true" applyProtection="false">
      <alignment horizontal="left" vertical="center" textRotation="0" wrapText="true" indent="0" shrinkToFit="false"/>
      <protection locked="true" hidden="false"/>
    </xf>
    <xf numFmtId="164" fontId="36" fillId="14" borderId="5" xfId="0" applyFont="true" applyBorder="true" applyAlignment="true" applyProtection="false">
      <alignment horizontal="center" vertical="center" textRotation="0" wrapText="true" indent="0" shrinkToFit="false"/>
      <protection locked="true" hidden="false"/>
    </xf>
    <xf numFmtId="164" fontId="36" fillId="14" borderId="0" xfId="0" applyFont="true" applyBorder="false" applyAlignment="true" applyProtection="false">
      <alignment horizontal="center" vertical="center" textRotation="0" wrapText="true" indent="0" shrinkToFit="false"/>
      <protection locked="true" hidden="false"/>
    </xf>
    <xf numFmtId="164" fontId="56" fillId="15" borderId="5" xfId="0" applyFont="true" applyBorder="true" applyAlignment="true" applyProtection="false">
      <alignment horizontal="center" vertical="center" textRotation="0" wrapText="true" indent="0" shrinkToFit="false"/>
      <protection locked="true" hidden="false"/>
    </xf>
    <xf numFmtId="164" fontId="56" fillId="15" borderId="5" xfId="0" applyFont="true" applyBorder="true" applyAlignment="true" applyProtection="false">
      <alignment horizontal="left" vertical="center" textRotation="0" wrapText="true" indent="0" shrinkToFit="false"/>
      <protection locked="true" hidden="false"/>
    </xf>
    <xf numFmtId="164" fontId="63" fillId="15" borderId="5" xfId="0" applyFont="true" applyBorder="true" applyAlignment="true" applyProtection="false">
      <alignment horizontal="center" vertical="center" textRotation="0" wrapText="true" indent="0" shrinkToFit="false"/>
      <protection locked="true" hidden="false"/>
    </xf>
    <xf numFmtId="165" fontId="62" fillId="15" borderId="4" xfId="0" applyFont="true" applyBorder="true" applyAlignment="true" applyProtection="false">
      <alignment horizontal="center" vertical="center" textRotation="0" wrapText="false" indent="0" shrinkToFit="false"/>
      <protection locked="true" hidden="false"/>
    </xf>
    <xf numFmtId="164" fontId="62" fillId="15" borderId="4" xfId="0" applyFont="true" applyBorder="true" applyAlignment="true" applyProtection="false">
      <alignment horizontal="left" vertical="center" textRotation="0" wrapText="tru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56" fillId="21" borderId="5" xfId="0" applyFont="true" applyBorder="true" applyAlignment="true" applyProtection="false">
      <alignment horizontal="center" vertical="center" textRotation="0" wrapText="true" indent="0" shrinkToFit="false"/>
      <protection locked="true" hidden="false"/>
    </xf>
    <xf numFmtId="164" fontId="56" fillId="21" borderId="5" xfId="0" applyFont="true" applyBorder="true" applyAlignment="true" applyProtection="false">
      <alignment horizontal="left" vertical="center" textRotation="0" wrapText="true" indent="0" shrinkToFit="false"/>
      <protection locked="true" hidden="false"/>
    </xf>
    <xf numFmtId="164" fontId="63" fillId="21" borderId="5" xfId="0" applyFont="true" applyBorder="true" applyAlignment="true" applyProtection="false">
      <alignment horizontal="center" vertical="center" textRotation="0" wrapText="true" indent="0" shrinkToFit="false"/>
      <protection locked="true" hidden="false"/>
    </xf>
    <xf numFmtId="164" fontId="43" fillId="23" borderId="5" xfId="0" applyFont="true" applyBorder="true" applyAlignment="true" applyProtection="false">
      <alignment horizontal="left" vertical="center" textRotation="0" wrapText="true" indent="0" shrinkToFit="false"/>
      <protection locked="true" hidden="false"/>
    </xf>
    <xf numFmtId="164" fontId="64" fillId="22" borderId="5" xfId="0" applyFont="true" applyBorder="true" applyAlignment="true" applyProtection="false">
      <alignment horizontal="center" vertical="center" textRotation="0" wrapText="true" indent="0" shrinkToFit="false"/>
      <protection locked="true" hidden="false"/>
    </xf>
    <xf numFmtId="164" fontId="43" fillId="36" borderId="5" xfId="0" applyFont="true" applyBorder="true" applyAlignment="true" applyProtection="false">
      <alignment horizontal="left" vertical="center" textRotation="0" wrapText="true" indent="0" shrinkToFit="false"/>
      <protection locked="true" hidden="false"/>
    </xf>
    <xf numFmtId="164" fontId="64" fillId="35" borderId="5" xfId="0" applyFont="true" applyBorder="true" applyAlignment="true" applyProtection="false">
      <alignment horizontal="center" vertical="center" textRotation="0" wrapText="true" indent="0" shrinkToFit="false"/>
      <protection locked="true" hidden="false"/>
    </xf>
    <xf numFmtId="165" fontId="64" fillId="28" borderId="5" xfId="0" applyFont="true" applyBorder="true" applyAlignment="true" applyProtection="false">
      <alignment horizontal="center" vertical="center" textRotation="0" wrapText="true" indent="0" shrinkToFit="false"/>
      <protection locked="true" hidden="false"/>
    </xf>
    <xf numFmtId="164" fontId="43" fillId="37" borderId="4" xfId="0" applyFont="true" applyBorder="true" applyAlignment="true" applyProtection="false">
      <alignment horizontal="left" vertical="center" textRotation="0" wrapText="true" indent="0" shrinkToFit="false"/>
      <protection locked="true" hidden="false"/>
    </xf>
    <xf numFmtId="164" fontId="64" fillId="0" borderId="4" xfId="0" applyFont="true" applyBorder="true" applyAlignment="true" applyProtection="false">
      <alignment horizontal="center" vertical="center" textRotation="0" wrapText="true" indent="0" shrinkToFit="false"/>
      <protection locked="true" hidden="false"/>
    </xf>
    <xf numFmtId="165" fontId="64" fillId="22" borderId="4" xfId="0" applyFont="true" applyBorder="true" applyAlignment="true" applyProtection="false">
      <alignment horizontal="center" vertical="center" textRotation="0" wrapText="true" indent="0" shrinkToFit="false"/>
      <protection locked="true" hidden="false"/>
    </xf>
    <xf numFmtId="164" fontId="43" fillId="38" borderId="4" xfId="0" applyFont="true" applyBorder="true" applyAlignment="true" applyProtection="false">
      <alignment horizontal="left" vertical="center" textRotation="0" wrapText="true" indent="0" shrinkToFit="false"/>
      <protection locked="true" hidden="false"/>
    </xf>
    <xf numFmtId="165" fontId="64" fillId="27" borderId="4" xfId="0" applyFont="true" applyBorder="true" applyAlignment="true" applyProtection="false">
      <alignment horizontal="center" vertical="center" textRotation="0" wrapText="true" indent="0" shrinkToFit="false"/>
      <protection locked="true" hidden="false"/>
    </xf>
    <xf numFmtId="164" fontId="65" fillId="27" borderId="0"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left" vertical="center" textRotation="0" wrapText="true" indent="0" shrinkToFit="false"/>
      <protection locked="true" hidden="false"/>
    </xf>
    <xf numFmtId="164" fontId="66" fillId="27" borderId="0" xfId="0" applyFont="true" applyBorder="true" applyAlignment="true" applyProtection="false">
      <alignment horizontal="left" vertical="center" textRotation="0" wrapText="true" indent="0" shrinkToFit="false"/>
      <protection locked="true" hidden="false"/>
    </xf>
    <xf numFmtId="164" fontId="37" fillId="15" borderId="5" xfId="0" applyFont="true" applyBorder="true" applyAlignment="true" applyProtection="false">
      <alignment horizontal="center" vertical="top" textRotation="0" wrapText="true" indent="0" shrinkToFit="false"/>
      <protection locked="true" hidden="false"/>
    </xf>
    <xf numFmtId="164" fontId="37" fillId="30" borderId="5" xfId="0" applyFont="true" applyBorder="true" applyAlignment="true" applyProtection="false">
      <alignment horizontal="left" vertical="top" textRotation="0" wrapText="true" indent="0" shrinkToFit="false"/>
      <protection locked="true" hidden="false"/>
    </xf>
    <xf numFmtId="164" fontId="57" fillId="21" borderId="5" xfId="0" applyFont="true" applyBorder="true" applyAlignment="true" applyProtection="false">
      <alignment horizontal="left" vertical="top" textRotation="0" wrapText="true" indent="0" shrinkToFit="false"/>
      <protection locked="true" hidden="false"/>
    </xf>
    <xf numFmtId="164" fontId="57" fillId="22" borderId="5" xfId="0" applyFont="true" applyBorder="true" applyAlignment="true" applyProtection="false">
      <alignment horizontal="left" vertical="top" textRotation="0" wrapText="true" indent="0" shrinkToFit="false"/>
      <protection locked="true" hidden="false"/>
    </xf>
    <xf numFmtId="164" fontId="57" fillId="30" borderId="5" xfId="0" applyFont="true" applyBorder="true" applyAlignment="true" applyProtection="false">
      <alignment horizontal="left" vertical="top" textRotation="0" wrapText="true" indent="0" shrinkToFit="false"/>
      <protection locked="true" hidden="false"/>
    </xf>
    <xf numFmtId="164" fontId="57" fillId="28" borderId="5" xfId="0" applyFont="true" applyBorder="true" applyAlignment="true" applyProtection="false">
      <alignment horizontal="left" vertical="top" textRotation="0" wrapText="true" indent="0" shrinkToFit="false"/>
      <protection locked="true" hidden="false"/>
    </xf>
    <xf numFmtId="164" fontId="37" fillId="21" borderId="5" xfId="0" applyFont="true" applyBorder="true" applyAlignment="true" applyProtection="false">
      <alignment horizontal="left" vertical="top" textRotation="0" wrapText="true" indent="0" shrinkToFit="false"/>
      <protection locked="true" hidden="false"/>
    </xf>
    <xf numFmtId="164" fontId="37" fillId="22" borderId="5" xfId="0" applyFont="true" applyBorder="true" applyAlignment="true" applyProtection="false">
      <alignment horizontal="left" vertical="top" textRotation="0" wrapText="true" indent="0" shrinkToFit="false"/>
      <protection locked="true" hidden="false"/>
    </xf>
    <xf numFmtId="164" fontId="37" fillId="28" borderId="5" xfId="0" applyFont="true" applyBorder="true" applyAlignment="true" applyProtection="false">
      <alignment horizontal="left" vertical="top" textRotation="0" wrapText="true" indent="0" shrinkToFit="false"/>
      <protection locked="true" hidden="false"/>
    </xf>
    <xf numFmtId="164" fontId="55" fillId="21" borderId="5" xfId="0" applyFont="true" applyBorder="true" applyAlignment="true" applyProtection="false">
      <alignment horizontal="center" vertical="top" textRotation="0" wrapText="true" indent="0" shrinkToFit="false"/>
      <protection locked="true" hidden="false"/>
    </xf>
    <xf numFmtId="164" fontId="67" fillId="15" borderId="0" xfId="0" applyFont="true" applyBorder="true" applyAlignment="true" applyProtection="false">
      <alignment horizontal="left" vertical="center" textRotation="0" wrapText="true" indent="0" shrinkToFit="false"/>
      <protection locked="true" hidden="false"/>
    </xf>
    <xf numFmtId="164" fontId="68" fillId="0" borderId="0" xfId="0" applyFont="true" applyBorder="true" applyAlignment="true" applyProtection="false">
      <alignment horizontal="general" vertical="center" textRotation="0" wrapText="true" indent="0" shrinkToFit="false"/>
      <protection locked="true" hidden="false"/>
    </xf>
    <xf numFmtId="164" fontId="51" fillId="23" borderId="0" xfId="0" applyFont="true" applyBorder="false" applyAlignment="true" applyProtection="false">
      <alignment horizontal="left" vertical="center" textRotation="0" wrapText="true" indent="0" shrinkToFit="false"/>
      <protection locked="true" hidden="false"/>
    </xf>
    <xf numFmtId="164" fontId="56" fillId="30" borderId="5" xfId="0" applyFont="true" applyBorder="true" applyAlignment="true" applyProtection="false">
      <alignment horizontal="left" vertical="top" textRotation="0" wrapText="true" indent="0" shrinkToFit="false"/>
      <protection locked="true" hidden="false"/>
    </xf>
    <xf numFmtId="164" fontId="60" fillId="21" borderId="5" xfId="0" applyFont="true" applyBorder="true" applyAlignment="true" applyProtection="false">
      <alignment horizontal="left" vertical="top" textRotation="0" wrapText="true" indent="0" shrinkToFit="false"/>
      <protection locked="true" hidden="false"/>
    </xf>
    <xf numFmtId="164" fontId="51" fillId="23" borderId="0" xfId="0" applyFont="true" applyBorder="true" applyAlignment="true" applyProtection="false">
      <alignment horizontal="left" vertical="center" textRotation="0" wrapText="true" indent="0" shrinkToFit="false"/>
      <protection locked="true" hidden="false"/>
    </xf>
    <xf numFmtId="164" fontId="52" fillId="28" borderId="4" xfId="0" applyFont="true" applyBorder="true" applyAlignment="true" applyProtection="false">
      <alignment horizontal="center" vertical="center" textRotation="0" wrapText="true" indent="0" shrinkToFit="false"/>
      <protection locked="true" hidden="false"/>
    </xf>
    <xf numFmtId="164" fontId="52" fillId="22" borderId="4" xfId="0" applyFont="true" applyBorder="true" applyAlignment="true" applyProtection="false">
      <alignment horizontal="center" vertical="center" textRotation="0" wrapText="true" indent="0" shrinkToFit="false"/>
      <protection locked="true" hidden="false"/>
    </xf>
    <xf numFmtId="164" fontId="51" fillId="2" borderId="0" xfId="0" applyFont="true" applyBorder="true" applyAlignment="true" applyProtection="false">
      <alignment horizontal="left" vertical="center" textRotation="0" wrapText="false" indent="1" shrinkToFit="false"/>
      <protection locked="true" hidden="false"/>
    </xf>
    <xf numFmtId="164" fontId="67" fillId="0" borderId="0" xfId="0" applyFont="true" applyBorder="true" applyAlignment="true" applyProtection="false">
      <alignment horizontal="left" vertical="center" textRotation="0" wrapText="true" indent="0" shrinkToFit="false"/>
      <protection locked="true" hidden="false"/>
    </xf>
    <xf numFmtId="164" fontId="57" fillId="15" borderId="0" xfId="0" applyFont="true" applyBorder="true" applyAlignment="true" applyProtection="false">
      <alignment horizontal="left" vertical="center" textRotation="0" wrapText="false" indent="0" shrinkToFit="false"/>
      <protection locked="true" hidden="false"/>
    </xf>
    <xf numFmtId="164" fontId="64" fillId="0" borderId="4" xfId="0" applyFont="true" applyBorder="true" applyAlignment="true" applyProtection="false">
      <alignment horizontal="left" vertical="center" textRotation="0" wrapText="false" indent="0" shrinkToFit="false"/>
      <protection locked="true" hidden="false"/>
    </xf>
    <xf numFmtId="164" fontId="62" fillId="0" borderId="4" xfId="0" applyFont="true" applyBorder="true" applyAlignment="true" applyProtection="false">
      <alignment horizontal="center" vertical="center" textRotation="0" wrapText="false" indent="0" shrinkToFit="false"/>
      <protection locked="true" hidden="false"/>
    </xf>
    <xf numFmtId="164" fontId="62" fillId="22" borderId="4" xfId="0" applyFont="true" applyBorder="true" applyAlignment="true" applyProtection="false">
      <alignment horizontal="center" vertical="center" textRotation="0" wrapText="false" indent="0" shrinkToFit="false"/>
      <protection locked="true" hidden="false"/>
    </xf>
    <xf numFmtId="164" fontId="67" fillId="0" borderId="0" xfId="0" applyFont="true" applyBorder="true" applyAlignment="true" applyProtection="false">
      <alignment horizontal="general" vertical="center" textRotation="0" wrapText="true" indent="0" shrinkToFit="false"/>
      <protection locked="true" hidden="false"/>
    </xf>
    <xf numFmtId="164" fontId="62" fillId="0" borderId="0" xfId="0" applyFont="true" applyBorder="false" applyAlignment="true" applyProtection="false">
      <alignment horizontal="general" vertical="center" textRotation="0" wrapText="false" indent="0" shrinkToFit="false"/>
      <protection locked="true" hidden="false"/>
    </xf>
    <xf numFmtId="165" fontId="64" fillId="0" borderId="0" xfId="0" applyFont="true" applyBorder="false" applyAlignment="true" applyProtection="false">
      <alignment horizontal="center" vertical="center" textRotation="0" wrapText="false" indent="0" shrinkToFit="false"/>
      <protection locked="true" hidden="false"/>
    </xf>
    <xf numFmtId="166" fontId="64" fillId="0" borderId="0" xfId="0" applyFont="true" applyBorder="false" applyAlignment="true" applyProtection="false">
      <alignment horizontal="center" vertical="center" textRotation="0" wrapText="false" indent="0" shrinkToFit="false"/>
      <protection locked="true" hidden="false"/>
    </xf>
    <xf numFmtId="164" fontId="64" fillId="0" borderId="4" xfId="0" applyFont="true" applyBorder="true" applyAlignment="true" applyProtection="false">
      <alignment horizontal="general" vertical="bottom" textRotation="0" wrapText="false" indent="0" shrinkToFit="false"/>
      <protection locked="true" hidden="false"/>
    </xf>
    <xf numFmtId="165" fontId="64" fillId="22" borderId="4" xfId="0" applyFont="true" applyBorder="true" applyAlignment="true" applyProtection="false">
      <alignment horizontal="center" vertical="bottom" textRotation="0" wrapText="false" indent="0" shrinkToFit="false"/>
      <protection locked="true" hidden="false"/>
    </xf>
    <xf numFmtId="166" fontId="62" fillId="0" borderId="4" xfId="0" applyFont="true" applyBorder="true" applyAlignment="true" applyProtection="false">
      <alignment horizontal="center" vertical="bottom" textRotation="0" wrapText="false" indent="0" shrinkToFit="false"/>
      <protection locked="true" hidden="false"/>
    </xf>
    <xf numFmtId="165" fontId="64" fillId="29" borderId="4" xfId="0" applyFont="true" applyBorder="true" applyAlignment="true" applyProtection="false">
      <alignment horizontal="center" vertical="bottom" textRotation="0" wrapText="false" indent="0" shrinkToFit="false"/>
      <protection locked="true" hidden="false"/>
    </xf>
    <xf numFmtId="165" fontId="64" fillId="28" borderId="4" xfId="0" applyFont="true" applyBorder="true" applyAlignment="true" applyProtection="false">
      <alignment horizontal="center" vertical="bottom" textRotation="0" wrapText="false" indent="0" shrinkToFit="false"/>
      <protection locked="true" hidden="false"/>
    </xf>
    <xf numFmtId="165" fontId="64" fillId="27" borderId="4" xfId="0" applyFont="true" applyBorder="true" applyAlignment="true" applyProtection="false">
      <alignment horizontal="center" vertical="bottom"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5" fontId="62" fillId="28" borderId="4" xfId="0" applyFont="true" applyBorder="true" applyAlignment="true" applyProtection="false">
      <alignment horizontal="center" vertical="center" textRotation="0" wrapText="true" indent="0" shrinkToFit="false"/>
      <protection locked="true" hidden="false"/>
    </xf>
    <xf numFmtId="165" fontId="62" fillId="29" borderId="4" xfId="0" applyFont="true" applyBorder="true" applyAlignment="true" applyProtection="false">
      <alignment horizontal="center" vertical="center" textRotation="0" wrapText="true" indent="0" shrinkToFit="false"/>
      <protection locked="true" hidden="false"/>
    </xf>
    <xf numFmtId="165" fontId="62" fillId="22" borderId="4" xfId="0" applyFont="true" applyBorder="true" applyAlignment="true" applyProtection="false">
      <alignment horizontal="center" vertical="center" textRotation="0" wrapText="true" indent="0" shrinkToFit="false"/>
      <protection locked="true" hidden="false"/>
    </xf>
    <xf numFmtId="165" fontId="62" fillId="27" borderId="4" xfId="0" applyFont="true" applyBorder="true" applyAlignment="true" applyProtection="false">
      <alignment horizontal="center" vertical="center" textRotation="0" wrapText="true" indent="0" shrinkToFit="false"/>
      <protection locked="true" hidden="false"/>
    </xf>
    <xf numFmtId="166" fontId="62" fillId="0" borderId="4" xfId="0" applyFont="true" applyBorder="true" applyAlignment="true" applyProtection="false">
      <alignment horizontal="center" vertical="center" textRotation="0" wrapText="true" indent="0" shrinkToFit="false"/>
      <protection locked="true" hidden="false"/>
    </xf>
    <xf numFmtId="164" fontId="62" fillId="0" borderId="4" xfId="0" applyFont="true" applyBorder="true" applyAlignment="true" applyProtection="false">
      <alignment horizontal="center" vertical="center" textRotation="0" wrapText="true" indent="0" shrinkToFit="false"/>
      <protection locked="true" hidden="false"/>
    </xf>
    <xf numFmtId="164" fontId="62" fillId="0" borderId="4" xfId="0" applyFont="true" applyBorder="true" applyAlignment="true" applyProtection="false">
      <alignment horizontal="left" vertical="center" textRotation="0" wrapText="true" indent="0" shrinkToFit="false"/>
      <protection locked="true" hidden="false"/>
    </xf>
    <xf numFmtId="164" fontId="64" fillId="0" borderId="0" xfId="0" applyFont="true" applyBorder="true" applyAlignment="true" applyProtection="false">
      <alignment horizontal="general" vertical="center" textRotation="0" wrapText="true" indent="0" shrinkToFit="false"/>
      <protection locked="true" hidden="false"/>
    </xf>
    <xf numFmtId="164" fontId="62" fillId="0" borderId="0" xfId="0" applyFont="true" applyBorder="true" applyAlignment="true" applyProtection="false">
      <alignment horizontal="general" vertical="center" textRotation="0" wrapText="true" indent="0" shrinkToFit="false"/>
      <protection locked="true" hidden="false"/>
    </xf>
    <xf numFmtId="164" fontId="66"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EAF0FB"/>
      <rgbColor rgb="FF0000FF"/>
      <rgbColor rgb="FFFFF3D1"/>
      <rgbColor rgb="FFF2F2F2"/>
      <rgbColor rgb="FFDDEBF7"/>
      <rgbColor rgb="FF800000"/>
      <rgbColor rgb="FFF3E8FD"/>
      <rgbColor rgb="FF0D2660"/>
      <rgbColor rgb="FF548235"/>
      <rgbColor rgb="FFFFFDF5"/>
      <rgbColor rgb="FF008080"/>
      <rgbColor rgb="FFBFBFBF"/>
      <rgbColor rgb="FF555555"/>
      <rgbColor rgb="FF5B9BD5"/>
      <rgbColor rgb="FF7030A0"/>
      <rgbColor rgb="FFFFFDE7"/>
      <rgbColor rgb="FFD6EEF0"/>
      <rgbColor rgb="FF660066"/>
      <rgbColor rgb="FFFFE0E0"/>
      <rgbColor rgb="FF1155CC"/>
      <rgbColor rgb="FFBFC9E0"/>
      <rgbColor rgb="FF000080"/>
      <rgbColor rgb="FFF2F4FA"/>
      <rgbColor rgb="FFE2EFDA"/>
      <rgbColor rgb="FFE3ECF9"/>
      <rgbColor rgb="FF800080"/>
      <rgbColor rgb="FF800000"/>
      <rgbColor rgb="FF1F4E79"/>
      <rgbColor rgb="FF0000FF"/>
      <rgbColor rgb="FFE8F0FE"/>
      <rgbColor rgb="FFE6F4EA"/>
      <rgbColor rgb="FFE2F0D9"/>
      <rgbColor rgb="FFFFF2CC"/>
      <rgbColor rgb="FFB9C6E8"/>
      <rgbColor rgb="FFF2CCFF"/>
      <rgbColor rgb="FFCCCCCC"/>
      <rgbColor rgb="FFFCE4D6"/>
      <rgbColor rgb="FF2E75B6"/>
      <rgbColor rgb="FFD9E8FB"/>
      <rgbColor rgb="FFD9E2F5"/>
      <rgbColor rgb="FFFFBC00"/>
      <rgbColor rgb="FFFF8C00"/>
      <rgbColor rgb="FFBF8F00"/>
      <rgbColor rgb="FF595959"/>
      <rgbColor rgb="FFD6E4F0"/>
      <rgbColor rgb="FF15306E"/>
      <rgbColor rgb="FF00B050"/>
      <rgbColor rgb="FF10243E"/>
      <rgbColor rgb="FF1A1A1A"/>
      <rgbColor rgb="FFFCE8E6"/>
      <rgbColor rgb="FFFCE4E4"/>
      <rgbColor rgb="FF1A3F90"/>
      <rgbColor rgb="FF4031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C00"/>
    <pageSetUpPr fitToPage="true"/>
  </sheetPr>
  <dimension ref="A1:D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70"/>
    <col collapsed="false" customWidth="true" hidden="false" outlineLevel="0" max="4" min="4" style="1" width="4"/>
  </cols>
  <sheetData>
    <row r="1" customFormat="false" ht="15" hidden="false" customHeight="true" outlineLevel="0" collapsed="false">
      <c r="A1" s="2"/>
      <c r="B1" s="2"/>
      <c r="C1" s="2"/>
      <c r="D1" s="2"/>
    </row>
    <row r="2" customFormat="false" ht="24" hidden="false" customHeight="true" outlineLevel="0" collapsed="false">
      <c r="A2" s="2"/>
      <c r="B2" s="3" t="s">
        <v>0</v>
      </c>
      <c r="C2" s="3"/>
      <c r="D2" s="2"/>
    </row>
    <row r="3" customFormat="false" ht="15" hidden="false" customHeight="true" outlineLevel="0" collapsed="false">
      <c r="A3" s="2"/>
      <c r="B3" s="4" t="s">
        <v>1</v>
      </c>
      <c r="C3" s="4"/>
      <c r="D3" s="2"/>
    </row>
    <row r="4" customFormat="false" ht="15" hidden="false" customHeight="true" outlineLevel="0" collapsed="false">
      <c r="A4" s="2"/>
      <c r="B4" s="4" t="s">
        <v>2</v>
      </c>
      <c r="C4" s="4"/>
      <c r="D4" s="2"/>
    </row>
    <row r="5" customFormat="false" ht="15" hidden="false" customHeight="true" outlineLevel="0" collapsed="false">
      <c r="A5" s="2"/>
      <c r="B5" s="2"/>
      <c r="C5" s="2"/>
      <c r="D5" s="2"/>
    </row>
    <row r="6" customFormat="false" ht="15" hidden="false" customHeight="true" outlineLevel="0" collapsed="false">
      <c r="A6" s="2"/>
      <c r="B6" s="5" t="s">
        <v>3</v>
      </c>
      <c r="C6" s="5"/>
      <c r="D6" s="2"/>
    </row>
    <row r="7" customFormat="false" ht="15" hidden="false" customHeight="true" outlineLevel="0" collapsed="false">
      <c r="A7" s="2"/>
      <c r="B7" s="2"/>
      <c r="C7" s="2"/>
      <c r="D7" s="2"/>
    </row>
    <row r="8" customFormat="false" ht="30" hidden="false" customHeight="true" outlineLevel="0" collapsed="false">
      <c r="A8" s="2"/>
      <c r="B8" s="6" t="s">
        <v>4</v>
      </c>
      <c r="C8" s="7" t="s">
        <v>5</v>
      </c>
      <c r="D8" s="2"/>
    </row>
    <row r="9" customFormat="false" ht="30" hidden="false" customHeight="true" outlineLevel="0" collapsed="false">
      <c r="A9" s="2"/>
      <c r="B9" s="6" t="s">
        <v>6</v>
      </c>
      <c r="C9" s="7" t="s">
        <v>7</v>
      </c>
      <c r="D9" s="2"/>
    </row>
    <row r="10" customFormat="false" ht="30" hidden="false" customHeight="true" outlineLevel="0" collapsed="false">
      <c r="A10" s="2"/>
      <c r="B10" s="6" t="s">
        <v>8</v>
      </c>
      <c r="C10" s="7" t="s">
        <v>9</v>
      </c>
      <c r="D10" s="2"/>
    </row>
    <row r="11" customFormat="false" ht="30" hidden="false" customHeight="true" outlineLevel="0" collapsed="false">
      <c r="A11" s="2"/>
      <c r="B11" s="6" t="s">
        <v>10</v>
      </c>
      <c r="C11" s="7" t="s">
        <v>11</v>
      </c>
      <c r="D11" s="2"/>
    </row>
    <row r="12" customFormat="false" ht="30" hidden="false" customHeight="true" outlineLevel="0" collapsed="false">
      <c r="A12" s="2"/>
      <c r="B12" s="6" t="s">
        <v>12</v>
      </c>
      <c r="C12" s="7" t="s">
        <v>13</v>
      </c>
      <c r="D12" s="2"/>
    </row>
    <row r="13" customFormat="false" ht="30" hidden="false" customHeight="true" outlineLevel="0" collapsed="false">
      <c r="A13" s="2"/>
      <c r="B13" s="6" t="s">
        <v>14</v>
      </c>
      <c r="C13" s="7" t="s">
        <v>15</v>
      </c>
      <c r="D13" s="2"/>
    </row>
    <row r="14" customFormat="false" ht="30" hidden="false" customHeight="true" outlineLevel="0" collapsed="false">
      <c r="A14" s="2"/>
      <c r="B14" s="6" t="s">
        <v>16</v>
      </c>
      <c r="C14" s="7" t="s">
        <v>17</v>
      </c>
      <c r="D14" s="2"/>
    </row>
    <row r="15" customFormat="false" ht="30" hidden="false" customHeight="true" outlineLevel="0" collapsed="false">
      <c r="A15" s="2"/>
      <c r="B15" s="6" t="s">
        <v>18</v>
      </c>
      <c r="C15" s="7" t="s">
        <v>19</v>
      </c>
      <c r="D15" s="2"/>
    </row>
    <row r="16" customFormat="false" ht="30" hidden="false" customHeight="true" outlineLevel="0" collapsed="false">
      <c r="A16" s="2"/>
      <c r="B16" s="6" t="s">
        <v>20</v>
      </c>
      <c r="C16" s="7" t="s">
        <v>21</v>
      </c>
      <c r="D16" s="2"/>
    </row>
    <row r="17" customFormat="false" ht="30" hidden="false" customHeight="true" outlineLevel="0" collapsed="false">
      <c r="A17" s="2"/>
      <c r="B17" s="6" t="s">
        <v>22</v>
      </c>
      <c r="C17" s="7" t="s">
        <v>23</v>
      </c>
      <c r="D17" s="2"/>
    </row>
    <row r="18" customFormat="false" ht="30" hidden="false" customHeight="true" outlineLevel="0" collapsed="false">
      <c r="A18" s="2"/>
      <c r="B18" s="6" t="s">
        <v>24</v>
      </c>
      <c r="C18" s="7" t="s">
        <v>25</v>
      </c>
      <c r="D18" s="2"/>
    </row>
    <row r="19" customFormat="false" ht="30" hidden="false" customHeight="true" outlineLevel="0" collapsed="false">
      <c r="A19" s="2"/>
      <c r="B19" s="6" t="s">
        <v>26</v>
      </c>
      <c r="C19" s="7" t="s">
        <v>27</v>
      </c>
      <c r="D19" s="2"/>
    </row>
    <row r="20" customFormat="false" ht="30" hidden="false" customHeight="true" outlineLevel="0" collapsed="false">
      <c r="A20" s="2"/>
      <c r="B20" s="6" t="s">
        <v>28</v>
      </c>
      <c r="C20" s="7" t="s">
        <v>29</v>
      </c>
      <c r="D20" s="2"/>
    </row>
    <row r="21" customFormat="false" ht="30" hidden="false" customHeight="true" outlineLevel="0" collapsed="false">
      <c r="A21" s="2"/>
      <c r="B21" s="6" t="s">
        <v>30</v>
      </c>
      <c r="C21" s="7" t="s">
        <v>31</v>
      </c>
      <c r="D21" s="2"/>
    </row>
    <row r="22" customFormat="false" ht="30" hidden="false" customHeight="true" outlineLevel="0" collapsed="false">
      <c r="A22" s="2"/>
      <c r="B22" s="6" t="s">
        <v>32</v>
      </c>
      <c r="C22" s="7" t="s">
        <v>33</v>
      </c>
      <c r="D22" s="2"/>
    </row>
    <row r="23" customFormat="false" ht="30" hidden="false" customHeight="true" outlineLevel="0" collapsed="false">
      <c r="A23" s="2"/>
      <c r="B23" s="6" t="s">
        <v>34</v>
      </c>
      <c r="C23" s="7" t="s">
        <v>35</v>
      </c>
      <c r="D23" s="2"/>
    </row>
    <row r="24" customFormat="false" ht="30" hidden="false" customHeight="true" outlineLevel="0" collapsed="false">
      <c r="A24" s="2"/>
      <c r="B24" s="6" t="s">
        <v>36</v>
      </c>
      <c r="C24" s="7" t="s">
        <v>37</v>
      </c>
      <c r="D24" s="2"/>
    </row>
    <row r="25" customFormat="false" ht="30" hidden="false" customHeight="true" outlineLevel="0" collapsed="false">
      <c r="A25" s="2"/>
      <c r="B25" s="8" t="s">
        <v>38</v>
      </c>
      <c r="C25" s="9" t="s">
        <v>39</v>
      </c>
      <c r="D25" s="2"/>
    </row>
    <row r="26" customFormat="false" ht="30" hidden="false" customHeight="true" outlineLevel="0" collapsed="false">
      <c r="A26" s="2"/>
      <c r="B26" s="8" t="s">
        <v>40</v>
      </c>
      <c r="C26" s="10" t="s">
        <v>41</v>
      </c>
      <c r="D26" s="2"/>
    </row>
    <row r="27" customFormat="false" ht="30" hidden="false" customHeight="true" outlineLevel="0" collapsed="false">
      <c r="A27" s="2"/>
      <c r="B27" s="8" t="s">
        <v>42</v>
      </c>
      <c r="C27" s="9" t="s">
        <v>43</v>
      </c>
      <c r="D27" s="2"/>
    </row>
    <row r="28" customFormat="false" ht="30" hidden="false" customHeight="true" outlineLevel="0" collapsed="false">
      <c r="A28" s="2"/>
      <c r="B28" s="8" t="s">
        <v>44</v>
      </c>
      <c r="C28" s="10" t="s">
        <v>45</v>
      </c>
      <c r="D28" s="2"/>
    </row>
    <row r="29" customFormat="false" ht="30" hidden="false" customHeight="true" outlineLevel="0" collapsed="false">
      <c r="A29" s="2"/>
      <c r="B29" s="8" t="s">
        <v>46</v>
      </c>
      <c r="C29" s="10" t="s">
        <v>47</v>
      </c>
      <c r="D29" s="2"/>
    </row>
    <row r="30" customFormat="false" ht="15" hidden="false" customHeight="true" outlineLevel="0" collapsed="false">
      <c r="A30" s="2"/>
      <c r="B30" s="11"/>
      <c r="D30" s="2"/>
    </row>
    <row r="31" customFormat="false" ht="15" hidden="false" customHeight="true" outlineLevel="0" collapsed="false">
      <c r="A31" s="2"/>
      <c r="B31" s="4" t="s">
        <v>48</v>
      </c>
      <c r="C31" s="4"/>
      <c r="D31" s="2"/>
    </row>
    <row r="32" customFormat="false" ht="15" hidden="false" customHeight="true" outlineLevel="0" collapsed="false">
      <c r="A32" s="2"/>
      <c r="B32" s="12"/>
      <c r="D32" s="2"/>
    </row>
    <row r="33" customFormat="false" ht="15" hidden="false" customHeight="true" outlineLevel="0" collapsed="false">
      <c r="A33" s="2"/>
      <c r="B33" s="13" t="s">
        <v>49</v>
      </c>
      <c r="C33" s="13"/>
      <c r="D33" s="2"/>
    </row>
    <row r="34" customFormat="false" ht="15" hidden="false" customHeight="true" outlineLevel="0" collapsed="false">
      <c r="A34" s="2"/>
      <c r="B34" s="14" t="s">
        <v>50</v>
      </c>
      <c r="C34" s="14"/>
      <c r="D34" s="2"/>
    </row>
    <row r="35" customFormat="false" ht="15" hidden="false" customHeight="true" outlineLevel="0" collapsed="false">
      <c r="A35" s="2"/>
      <c r="B35" s="14" t="s">
        <v>51</v>
      </c>
      <c r="C35" s="14"/>
      <c r="D35" s="2"/>
    </row>
    <row r="36" customFormat="false" ht="15" hidden="false" customHeight="true" outlineLevel="0" collapsed="false">
      <c r="A36" s="2"/>
      <c r="B36" s="14" t="s">
        <v>52</v>
      </c>
      <c r="C36" s="14"/>
      <c r="D36" s="2"/>
    </row>
    <row r="37" customFormat="false" ht="15" hidden="false" customHeight="true" outlineLevel="0" collapsed="false">
      <c r="A37" s="2"/>
      <c r="B37" s="14" t="s">
        <v>53</v>
      </c>
      <c r="C37" s="14"/>
      <c r="D37" s="2"/>
    </row>
    <row r="38" customFormat="false" ht="15" hidden="false" customHeight="true" outlineLevel="0" collapsed="false">
      <c r="A38" s="2"/>
      <c r="B38" s="2"/>
      <c r="C38" s="2"/>
      <c r="D38" s="2"/>
    </row>
    <row r="39" customFormat="false" ht="15" hidden="false" customHeight="true" outlineLevel="0" collapsed="false">
      <c r="A39" s="2"/>
      <c r="B39" s="2"/>
      <c r="C39" s="2"/>
      <c r="D39" s="2"/>
    </row>
    <row r="40" customFormat="false" ht="15" hidden="false" customHeight="true" outlineLevel="0" collapsed="false">
      <c r="A40" s="2"/>
      <c r="B40" s="2"/>
      <c r="C40" s="2"/>
      <c r="D40" s="2"/>
    </row>
    <row r="41" customFormat="false" ht="15" hidden="false" customHeight="true" outlineLevel="0" collapsed="false">
      <c r="A41" s="2"/>
      <c r="B41" s="2"/>
      <c r="C41" s="2"/>
      <c r="D41" s="2"/>
    </row>
    <row r="42" customFormat="false" ht="15" hidden="false" customHeight="true" outlineLevel="0" collapsed="false">
      <c r="A42" s="2"/>
      <c r="B42" s="2"/>
      <c r="C42" s="2"/>
      <c r="D42" s="2"/>
    </row>
    <row r="43" customFormat="false" ht="15" hidden="false" customHeight="true" outlineLevel="0" collapsed="false">
      <c r="A43" s="2"/>
      <c r="B43" s="2"/>
      <c r="C43" s="2"/>
      <c r="D43" s="2"/>
    </row>
    <row r="44" customFormat="false" ht="15" hidden="false" customHeight="true" outlineLevel="0" collapsed="false">
      <c r="A44" s="2"/>
      <c r="B44" s="2"/>
      <c r="C44" s="2"/>
      <c r="D44" s="2"/>
    </row>
  </sheetData>
  <mergeCells count="10">
    <mergeCell ref="B2:C2"/>
    <mergeCell ref="B3:C3"/>
    <mergeCell ref="B4:C4"/>
    <mergeCell ref="B6:C6"/>
    <mergeCell ref="B31:C31"/>
    <mergeCell ref="B33:C33"/>
    <mergeCell ref="B34:C34"/>
    <mergeCell ref="B35:C35"/>
    <mergeCell ref="B36:C36"/>
    <mergeCell ref="B37:C37"/>
  </mergeCells>
  <hyperlinks>
    <hyperlink ref="B8" location="'📖 HƯỚNG DẪN SỬ DỤNG'!A1" display="📖 HƯỚNG DẪN SỬ DỤNG"/>
    <hyperlink ref="B9" location="'📚 TRIẾT LÝ &amp; NGUYÊN TẮC (4 BỘ)'!A1" display="📚 TRIẾT LÝ &amp; NGUYÊN TẮC (4 BỘ)"/>
    <hyperlink ref="B10" location="'1. ĐỒNG BỘ KẾ HOẠCH'!A1" display="1. ĐỒNG BỘ KẾ HOẠCH"/>
    <hyperlink ref="B11" location="'2. FRAMEWORK'!A1" display="2. FRAMEWORK"/>
    <hyperlink ref="B12" location="'3. THƯ VIỆN SỐ'!A1" display="3. THƯ VIỆN SỐ"/>
    <hyperlink ref="B13" location="'4. TRA CỨU NHANH'!A1" display="4. TRA CỨU NHANH"/>
    <hyperlink ref="B14" location="'5. HỒ SƠ GV'!A1" display="5. HỒ SƠ GV"/>
    <hyperlink ref="B15" location="'6. CẦU NỐI KHUNG NL'!A1" display="6. CẦU NỐI KHUNG NL"/>
    <hyperlink ref="B16" location="'7. KHUNG NL TÓM TẮT'!A1" display="7. KHUNG NL TÓM TẮT"/>
    <hyperlink ref="B17" location="'8. NGÂN HÀNG HOẠT ĐỘNG'!A1" display="8. NGÂN HÀNG HOẠT ĐỘNG"/>
    <hyperlink ref="B18" location="'9. CHECKLIST TRIỂN KHAI HĐ'!A1" display="9. CHECKLIST TRIỂN KHAI HĐ"/>
    <hyperlink ref="B19" location="'10. NGÂN HÀNG HỌC LIỆU'!A1" display="10. NGÂN HÀNG HỌC LIỆU"/>
    <hyperlink ref="B20" location="'11. RUBRIC NHÀ TRẺ'!A1" display="11. RUBRIC NHÀ TRẺ"/>
    <hyperlink ref="B21" location="'12. PHIẾU CÁ NHÂN'!A1" display="12. PHIẾU CÁ NHÂN"/>
    <hyperlink ref="B22" location="'13. BẢNG KIỂM LỚP'!A1" display="13. BẢNG KIỂM LỚP"/>
    <hyperlink ref="B23" location="'14. NHẬT KÝ QUAN SÁT'!A1" display="14. NHẬT KÝ QUAN SÁT"/>
    <hyperlink ref="B24" location="'15. PHIẾU TRAO ĐỔI CMHS'!A1" display="15. PHIẾU TRAO ĐỔI CMHS"/>
    <hyperlink ref="B25" location="'16. RA_SOAT_388'!A1" display="16. RA_SOAT_388"/>
    <hyperlink ref="B26" location="'17. DASHBOARD_LOP'!A1" display="17. DASHBOARD_LOP"/>
    <hyperlink ref="B27" location="'9b. GIÁO DỤC TRONG SINH HOẠT'!A1" display="9b. GIÁO DỤC TRONG SINH HOẠT"/>
    <hyperlink ref="B28" location="'12b. PORTFOLIO'!A1" display="12b. PORTFOLIO"/>
    <hyperlink ref="B29" location="'16b. DOI_CHIEU_5TRUC'!A1" display="16b. ĐỐI CHIẾU 5 TRỤC QĐ 388"/>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C00"/>
    <pageSetUpPr fitToPage="true"/>
  </sheetPr>
  <dimension ref="A1:B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70"/>
  </cols>
  <sheetData>
    <row r="1" customFormat="false" ht="25.5" hidden="false" customHeight="true" outlineLevel="0" collapsed="false">
      <c r="A1" s="15" t="s">
        <v>54</v>
      </c>
      <c r="B1" s="15"/>
    </row>
    <row r="2" customFormat="false" ht="21.75" hidden="false" customHeight="true" outlineLevel="0" collapsed="false">
      <c r="A2" s="16" t="s">
        <v>55</v>
      </c>
      <c r="B2" s="16"/>
    </row>
    <row r="3" customFormat="false" ht="16.5" hidden="false" customHeight="true" outlineLevel="0" collapsed="false">
      <c r="A3" s="17" t="s">
        <v>56</v>
      </c>
    </row>
    <row r="4" customFormat="false" ht="17.25" hidden="false" customHeight="true" outlineLevel="0" collapsed="false">
      <c r="A4" s="18"/>
    </row>
    <row r="5" customFormat="false" ht="17.25" hidden="false" customHeight="true" outlineLevel="0" collapsed="false">
      <c r="A5" s="19" t="s">
        <v>57</v>
      </c>
      <c r="B5" s="19"/>
    </row>
    <row r="6" customFormat="false" ht="31.5" hidden="false" customHeight="true" outlineLevel="0" collapsed="false">
      <c r="A6" s="20" t="s">
        <v>58</v>
      </c>
      <c r="B6" s="21" t="s">
        <v>59</v>
      </c>
    </row>
    <row r="7" customFormat="false" ht="31.5" hidden="false" customHeight="true" outlineLevel="0" collapsed="false">
      <c r="A7" s="20" t="s">
        <v>60</v>
      </c>
      <c r="B7" s="21" t="s">
        <v>61</v>
      </c>
    </row>
    <row r="8" customFormat="false" ht="31.5" hidden="false" customHeight="true" outlineLevel="0" collapsed="false">
      <c r="A8" s="20" t="s">
        <v>62</v>
      </c>
      <c r="B8" s="21" t="s">
        <v>63</v>
      </c>
    </row>
    <row r="9" customFormat="false" ht="17.25" hidden="false" customHeight="true" outlineLevel="0" collapsed="false">
      <c r="A9" s="22"/>
      <c r="B9" s="23"/>
    </row>
    <row r="10" customFormat="false" ht="17.25" hidden="false" customHeight="true" outlineLevel="0" collapsed="false">
      <c r="A10" s="19" t="s">
        <v>64</v>
      </c>
      <c r="B10" s="19"/>
    </row>
    <row r="11" customFormat="false" ht="31.5" hidden="false" customHeight="true" outlineLevel="0" collapsed="false">
      <c r="A11" s="20" t="s">
        <v>65</v>
      </c>
      <c r="B11" s="24" t="s">
        <v>66</v>
      </c>
    </row>
    <row r="12" customFormat="false" ht="31.5" hidden="false" customHeight="true" outlineLevel="0" collapsed="false">
      <c r="A12" s="20" t="s">
        <v>67</v>
      </c>
      <c r="B12" s="21" t="s">
        <v>68</v>
      </c>
    </row>
    <row r="13" customFormat="false" ht="31.5" hidden="false" customHeight="true" outlineLevel="0" collapsed="false">
      <c r="A13" s="20" t="s">
        <v>69</v>
      </c>
      <c r="B13" s="21" t="s">
        <v>70</v>
      </c>
    </row>
    <row r="14" customFormat="false" ht="36" hidden="false" customHeight="true" outlineLevel="0" collapsed="false">
      <c r="A14" s="22"/>
      <c r="B14" s="23"/>
    </row>
    <row r="15" customFormat="false" ht="17.25" hidden="false" customHeight="true" outlineLevel="0" collapsed="false">
      <c r="A15" s="19" t="s">
        <v>71</v>
      </c>
      <c r="B15" s="19"/>
    </row>
    <row r="16" customFormat="false" ht="31.5" hidden="false" customHeight="true" outlineLevel="0" collapsed="false">
      <c r="A16" s="20" t="s">
        <v>72</v>
      </c>
      <c r="B16" s="21" t="s">
        <v>73</v>
      </c>
    </row>
    <row r="17" customFormat="false" ht="31.5" hidden="false" customHeight="true" outlineLevel="0" collapsed="false">
      <c r="A17" s="25" t="s">
        <v>74</v>
      </c>
      <c r="B17" s="24" t="s">
        <v>75</v>
      </c>
    </row>
    <row r="18" customFormat="false" ht="31.5" hidden="false" customHeight="true" outlineLevel="0" collapsed="false">
      <c r="A18" s="20" t="s">
        <v>76</v>
      </c>
      <c r="B18" s="24" t="s">
        <v>77</v>
      </c>
    </row>
    <row r="19" customFormat="false" ht="31.5" hidden="false" customHeight="true" outlineLevel="0" collapsed="false">
      <c r="A19" s="20" t="s">
        <v>78</v>
      </c>
      <c r="B19" s="21" t="s">
        <v>79</v>
      </c>
    </row>
    <row r="20" customFormat="false" ht="17.25" hidden="false" customHeight="true" outlineLevel="0" collapsed="false">
      <c r="A20" s="26"/>
      <c r="B20" s="27"/>
    </row>
    <row r="21" customFormat="false" ht="17.25" hidden="false" customHeight="true" outlineLevel="0" collapsed="false">
      <c r="A21" s="19" t="s">
        <v>80</v>
      </c>
      <c r="B21" s="19"/>
    </row>
    <row r="22" customFormat="false" ht="27.75" hidden="false" customHeight="true" outlineLevel="0" collapsed="false">
      <c r="A22" s="20" t="s">
        <v>81</v>
      </c>
      <c r="B22" s="21" t="s">
        <v>82</v>
      </c>
    </row>
    <row r="23" customFormat="false" ht="27.75" hidden="false" customHeight="true" outlineLevel="0" collapsed="false">
      <c r="A23" s="20" t="s">
        <v>83</v>
      </c>
      <c r="B23" s="21" t="s">
        <v>84</v>
      </c>
    </row>
    <row r="24" customFormat="false" ht="27.75" hidden="false" customHeight="true" outlineLevel="0" collapsed="false">
      <c r="A24" s="20" t="s">
        <v>85</v>
      </c>
      <c r="B24" s="21" t="s">
        <v>86</v>
      </c>
    </row>
    <row r="25" customFormat="false" ht="31.5" hidden="false" customHeight="true" outlineLevel="0" collapsed="false">
      <c r="A25" s="20" t="s">
        <v>87</v>
      </c>
      <c r="B25" s="21" t="s">
        <v>88</v>
      </c>
    </row>
    <row r="26" customFormat="false" ht="39.75" hidden="false" customHeight="true" outlineLevel="0" collapsed="false">
      <c r="A26" s="25" t="s">
        <v>89</v>
      </c>
      <c r="B26" s="28" t="s">
        <v>90</v>
      </c>
    </row>
    <row r="27" customFormat="false" ht="17.25" hidden="false" customHeight="true" outlineLevel="0" collapsed="false">
      <c r="A27" s="29"/>
    </row>
    <row r="28" customFormat="false" ht="17.25" hidden="false" customHeight="true" outlineLevel="0" collapsed="false">
      <c r="A28" s="30" t="s">
        <v>91</v>
      </c>
      <c r="B28" s="30"/>
    </row>
    <row r="29" customFormat="false" ht="31.5" hidden="false" customHeight="true" outlineLevel="0" collapsed="false">
      <c r="A29" s="25" t="s">
        <v>92</v>
      </c>
      <c r="B29" s="24" t="s">
        <v>93</v>
      </c>
    </row>
    <row r="30" customFormat="false" ht="31.5" hidden="false" customHeight="true" outlineLevel="0" collapsed="false">
      <c r="A30" s="25" t="s">
        <v>94</v>
      </c>
      <c r="B30" s="24" t="s">
        <v>95</v>
      </c>
    </row>
    <row r="31" customFormat="false" ht="31.5" hidden="false" customHeight="true" outlineLevel="0" collapsed="false">
      <c r="A31" s="25" t="s">
        <v>96</v>
      </c>
      <c r="B31" s="24" t="s">
        <v>97</v>
      </c>
    </row>
    <row r="32" customFormat="false" ht="31.5" hidden="false" customHeight="true" outlineLevel="0" collapsed="false">
      <c r="A32" s="25" t="s">
        <v>98</v>
      </c>
      <c r="B32" s="31" t="s">
        <v>99</v>
      </c>
    </row>
    <row r="34" customFormat="false" ht="17.25" hidden="false" customHeight="true" outlineLevel="0" collapsed="false">
      <c r="A34" s="30" t="s">
        <v>100</v>
      </c>
      <c r="B34" s="30"/>
    </row>
    <row r="35" customFormat="false" ht="27.75" hidden="false" customHeight="true" outlineLevel="0" collapsed="false">
      <c r="A35" s="25" t="s">
        <v>101</v>
      </c>
      <c r="B35" s="24" t="s">
        <v>102</v>
      </c>
    </row>
    <row r="36" customFormat="false" ht="31.5" hidden="false" customHeight="true" outlineLevel="0" collapsed="false">
      <c r="A36" s="25" t="s">
        <v>103</v>
      </c>
      <c r="B36" s="24" t="s">
        <v>104</v>
      </c>
    </row>
    <row r="37" customFormat="false" ht="34.5" hidden="false" customHeight="true" outlineLevel="0" collapsed="false">
      <c r="A37" s="25"/>
      <c r="B37" s="32"/>
    </row>
    <row r="38" customFormat="false" ht="17.25" hidden="false" customHeight="true" outlineLevel="0" collapsed="false">
      <c r="A38" s="30" t="s">
        <v>105</v>
      </c>
      <c r="B38" s="30"/>
    </row>
    <row r="39" customFormat="false" ht="31.5" hidden="false" customHeight="true" outlineLevel="0" collapsed="false">
      <c r="A39" s="25" t="s">
        <v>10</v>
      </c>
      <c r="B39" s="24" t="s">
        <v>106</v>
      </c>
    </row>
    <row r="40" customFormat="false" ht="31.5" hidden="false" customHeight="true" outlineLevel="0" collapsed="false">
      <c r="A40" s="25" t="s">
        <v>22</v>
      </c>
      <c r="B40" s="24" t="s">
        <v>107</v>
      </c>
    </row>
    <row r="41" customFormat="false" ht="31.5" hidden="false" customHeight="true" outlineLevel="0" collapsed="false">
      <c r="A41" s="25" t="s">
        <v>32</v>
      </c>
      <c r="B41" s="24" t="s">
        <v>108</v>
      </c>
    </row>
    <row r="42" customFormat="false" ht="31.5" hidden="false" customHeight="true" outlineLevel="0" collapsed="false">
      <c r="A42" s="25" t="s">
        <v>40</v>
      </c>
      <c r="B42" s="24" t="s">
        <v>109</v>
      </c>
    </row>
    <row r="43" customFormat="false" ht="31.5" hidden="false" customHeight="true" outlineLevel="0" collapsed="false">
      <c r="A43" s="25" t="s">
        <v>38</v>
      </c>
      <c r="B43" s="24" t="s">
        <v>110</v>
      </c>
    </row>
    <row r="45" customFormat="false" ht="17.25" hidden="false" customHeight="true" outlineLevel="0" collapsed="false">
      <c r="A45" s="30" t="s">
        <v>111</v>
      </c>
      <c r="B45" s="30"/>
    </row>
    <row r="46" customFormat="false" ht="31.5" hidden="false" customHeight="true" outlineLevel="0" collapsed="false">
      <c r="A46" s="25" t="s">
        <v>112</v>
      </c>
      <c r="B46" s="24" t="s">
        <v>113</v>
      </c>
    </row>
    <row r="47" customFormat="false" ht="31.5" hidden="false" customHeight="true" outlineLevel="0" collapsed="false">
      <c r="A47" s="25" t="s">
        <v>114</v>
      </c>
      <c r="B47" s="24" t="s">
        <v>115</v>
      </c>
    </row>
    <row r="48" customFormat="false" ht="31.5" hidden="false" customHeight="true" outlineLevel="0" collapsed="false">
      <c r="A48" s="25" t="s">
        <v>116</v>
      </c>
      <c r="B48" s="24" t="s">
        <v>117</v>
      </c>
    </row>
    <row r="49" customFormat="false" ht="31.5" hidden="false" customHeight="true" outlineLevel="0" collapsed="false">
      <c r="A49" s="25" t="s">
        <v>118</v>
      </c>
      <c r="B49" s="24" t="s">
        <v>119</v>
      </c>
    </row>
    <row r="51" customFormat="false" ht="17.25" hidden="false" customHeight="true" outlineLevel="0" collapsed="false">
      <c r="A51" s="30" t="s">
        <v>120</v>
      </c>
      <c r="B51" s="30"/>
    </row>
    <row r="52" customFormat="false" ht="31.5" hidden="false" customHeight="true" outlineLevel="0" collapsed="false">
      <c r="A52" s="25" t="s">
        <v>121</v>
      </c>
      <c r="B52" s="24" t="s">
        <v>122</v>
      </c>
    </row>
    <row r="53" customFormat="false" ht="31.5" hidden="false" customHeight="true" outlineLevel="0" collapsed="false">
      <c r="A53" s="25" t="s">
        <v>123</v>
      </c>
      <c r="B53" s="24" t="s">
        <v>124</v>
      </c>
    </row>
    <row r="54" customFormat="false" ht="31.5" hidden="false" customHeight="true" outlineLevel="0" collapsed="false">
      <c r="A54" s="25" t="s">
        <v>125</v>
      </c>
      <c r="B54" s="24" t="s">
        <v>126</v>
      </c>
    </row>
  </sheetData>
  <mergeCells count="11">
    <mergeCell ref="A1:B1"/>
    <mergeCell ref="A2:B2"/>
    <mergeCell ref="A5:B5"/>
    <mergeCell ref="A10:B10"/>
    <mergeCell ref="A15:B15"/>
    <mergeCell ref="A21:B21"/>
    <mergeCell ref="A28:B28"/>
    <mergeCell ref="A34:B34"/>
    <mergeCell ref="A38:B38"/>
    <mergeCell ref="A45:B45"/>
    <mergeCell ref="A51:B51"/>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C00"/>
    <pageSetUpPr fitToPage="true"/>
  </sheetPr>
  <dimension ref="A1:C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80"/>
  </cols>
  <sheetData>
    <row r="1" customFormat="false" ht="19.5" hidden="false" customHeight="true" outlineLevel="0" collapsed="false">
      <c r="A1" s="33" t="s">
        <v>56</v>
      </c>
      <c r="B1" s="33"/>
      <c r="C1" s="33"/>
    </row>
    <row r="3" customFormat="false" ht="25.5" hidden="false" customHeight="true" outlineLevel="0" collapsed="false">
      <c r="A3" s="34" t="s">
        <v>127</v>
      </c>
      <c r="B3" s="34"/>
      <c r="C3" s="34"/>
    </row>
    <row r="5" customFormat="false" ht="21.75" hidden="false" customHeight="true" outlineLevel="0" collapsed="false">
      <c r="A5" s="35" t="s">
        <v>128</v>
      </c>
      <c r="B5" s="35"/>
      <c r="C5" s="35"/>
    </row>
    <row r="6" customFormat="false" ht="18" hidden="false" customHeight="true" outlineLevel="0" collapsed="false">
      <c r="B6" s="36" t="s">
        <v>129</v>
      </c>
      <c r="C6" s="37" t="s">
        <v>130</v>
      </c>
    </row>
    <row r="7" customFormat="false" ht="18" hidden="false" customHeight="true" outlineLevel="0" collapsed="false">
      <c r="B7" s="36" t="s">
        <v>131</v>
      </c>
      <c r="C7" s="37" t="s">
        <v>132</v>
      </c>
    </row>
    <row r="8" customFormat="false" ht="18" hidden="false" customHeight="true" outlineLevel="0" collapsed="false">
      <c r="B8" s="36" t="s">
        <v>133</v>
      </c>
      <c r="C8" s="37" t="s">
        <v>134</v>
      </c>
    </row>
    <row r="9" customFormat="false" ht="18" hidden="false" customHeight="true" outlineLevel="0" collapsed="false">
      <c r="B9" s="36" t="s">
        <v>135</v>
      </c>
      <c r="C9" s="37" t="s">
        <v>136</v>
      </c>
    </row>
    <row r="10" customFormat="false" ht="18" hidden="false" customHeight="true" outlineLevel="0" collapsed="false">
      <c r="B10" s="36" t="s">
        <v>137</v>
      </c>
      <c r="C10" s="37" t="s">
        <v>138</v>
      </c>
    </row>
    <row r="11" customFormat="false" ht="18" hidden="false" customHeight="true" outlineLevel="0" collapsed="false">
      <c r="B11" s="36" t="s">
        <v>139</v>
      </c>
      <c r="C11" s="37" t="s">
        <v>140</v>
      </c>
    </row>
    <row r="12" customFormat="false" ht="21.75" hidden="false" customHeight="true" outlineLevel="0" collapsed="false">
      <c r="A12" s="35" t="s">
        <v>141</v>
      </c>
      <c r="B12" s="35"/>
      <c r="C12" s="35"/>
    </row>
    <row r="13" customFormat="false" ht="21.75" hidden="false" customHeight="true" outlineLevel="0" collapsed="false">
      <c r="A13" s="35" t="s">
        <v>142</v>
      </c>
      <c r="B13" s="35"/>
      <c r="C13" s="35"/>
    </row>
    <row r="14" customFormat="false" ht="18" hidden="false" customHeight="true" outlineLevel="0" collapsed="false">
      <c r="B14" s="36" t="s">
        <v>143</v>
      </c>
      <c r="C14" s="37" t="s">
        <v>144</v>
      </c>
    </row>
    <row r="15" customFormat="false" ht="18" hidden="false" customHeight="true" outlineLevel="0" collapsed="false">
      <c r="B15" s="36" t="s">
        <v>145</v>
      </c>
      <c r="C15" s="37" t="s">
        <v>146</v>
      </c>
    </row>
    <row r="16" customFormat="false" ht="18" hidden="false" customHeight="true" outlineLevel="0" collapsed="false">
      <c r="B16" s="36" t="s">
        <v>147</v>
      </c>
      <c r="C16" s="37" t="s">
        <v>148</v>
      </c>
    </row>
    <row r="17" customFormat="false" ht="18" hidden="false" customHeight="true" outlineLevel="0" collapsed="false">
      <c r="B17" s="36" t="s">
        <v>149</v>
      </c>
      <c r="C17" s="37" t="s">
        <v>150</v>
      </c>
    </row>
    <row r="18" customFormat="false" ht="21.75" hidden="false" customHeight="true" outlineLevel="0" collapsed="false">
      <c r="A18" s="35" t="s">
        <v>151</v>
      </c>
      <c r="B18" s="35"/>
      <c r="C18" s="35"/>
    </row>
    <row r="19" customFormat="false" ht="18" hidden="false" customHeight="true" outlineLevel="0" collapsed="false">
      <c r="B19" s="36" t="s">
        <v>152</v>
      </c>
      <c r="C19" s="37" t="s">
        <v>153</v>
      </c>
    </row>
    <row r="20" customFormat="false" ht="21.75" hidden="false" customHeight="true" outlineLevel="0" collapsed="false">
      <c r="A20" s="35" t="s">
        <v>154</v>
      </c>
      <c r="B20" s="35"/>
      <c r="C20" s="35"/>
    </row>
    <row r="21" customFormat="false" ht="18" hidden="false" customHeight="true" outlineLevel="0" collapsed="false">
      <c r="B21" s="36" t="s">
        <v>155</v>
      </c>
      <c r="C21" s="37" t="s">
        <v>156</v>
      </c>
    </row>
    <row r="22" customFormat="false" ht="45" hidden="false" customHeight="true" outlineLevel="0" collapsed="false">
      <c r="B22" s="36" t="s">
        <v>157</v>
      </c>
      <c r="C22" s="37" t="s">
        <v>158</v>
      </c>
    </row>
    <row r="23" customFormat="false" ht="21.75" hidden="false" customHeight="true" outlineLevel="0" collapsed="false">
      <c r="A23" s="35" t="s">
        <v>159</v>
      </c>
      <c r="B23" s="35"/>
      <c r="C23" s="35"/>
    </row>
    <row r="24" customFormat="false" ht="21.75" hidden="false" customHeight="true" outlineLevel="0" collapsed="false">
      <c r="A24" s="35" t="s">
        <v>160</v>
      </c>
      <c r="B24" s="35"/>
      <c r="C24" s="35"/>
    </row>
    <row r="25" customFormat="false" ht="30" hidden="false" customHeight="true" outlineLevel="0" collapsed="false">
      <c r="B25" s="36" t="s">
        <v>161</v>
      </c>
      <c r="C25" s="37" t="s">
        <v>162</v>
      </c>
    </row>
    <row r="26" customFormat="false" ht="30" hidden="false" customHeight="true" outlineLevel="0" collapsed="false">
      <c r="B26" s="36" t="s">
        <v>163</v>
      </c>
      <c r="C26" s="37" t="s">
        <v>164</v>
      </c>
    </row>
    <row r="27" customFormat="false" ht="30" hidden="false" customHeight="true" outlineLevel="0" collapsed="false">
      <c r="B27" s="36" t="s">
        <v>165</v>
      </c>
      <c r="C27" s="37" t="s">
        <v>166</v>
      </c>
    </row>
    <row r="28" customFormat="false" ht="30" hidden="false" customHeight="true" outlineLevel="0" collapsed="false">
      <c r="B28" s="36" t="s">
        <v>167</v>
      </c>
      <c r="C28" s="37" t="s">
        <v>168</v>
      </c>
    </row>
    <row r="29" customFormat="false" ht="21.75" hidden="false" customHeight="true" outlineLevel="0" collapsed="false">
      <c r="A29" s="35" t="s">
        <v>169</v>
      </c>
      <c r="B29" s="35"/>
      <c r="C29" s="35"/>
    </row>
    <row r="30" customFormat="false" ht="30" hidden="false" customHeight="true" outlineLevel="0" collapsed="false">
      <c r="B30" s="36" t="s">
        <v>170</v>
      </c>
      <c r="C30" s="37" t="s">
        <v>171</v>
      </c>
    </row>
    <row r="31" customFormat="false" ht="30" hidden="false" customHeight="true" outlineLevel="0" collapsed="false">
      <c r="B31" s="36" t="s">
        <v>172</v>
      </c>
      <c r="C31" s="37" t="s">
        <v>173</v>
      </c>
    </row>
    <row r="32" customFormat="false" ht="30" hidden="false" customHeight="true" outlineLevel="0" collapsed="false">
      <c r="B32" s="36" t="s">
        <v>174</v>
      </c>
      <c r="C32" s="37" t="s">
        <v>175</v>
      </c>
    </row>
    <row r="33" customFormat="false" ht="18" hidden="false" customHeight="true" outlineLevel="0" collapsed="false">
      <c r="B33" s="36" t="s">
        <v>176</v>
      </c>
      <c r="C33" s="37" t="s">
        <v>177</v>
      </c>
    </row>
    <row r="34" customFormat="false" ht="21.75" hidden="false" customHeight="true" outlineLevel="0" collapsed="false">
      <c r="A34" s="35" t="s">
        <v>178</v>
      </c>
      <c r="B34" s="35"/>
      <c r="C34" s="35"/>
    </row>
    <row r="35" customFormat="false" ht="18" hidden="false" customHeight="true" outlineLevel="0" collapsed="false">
      <c r="B35" s="36" t="s">
        <v>179</v>
      </c>
      <c r="C35" s="37" t="s">
        <v>180</v>
      </c>
    </row>
    <row r="36" customFormat="false" ht="30" hidden="false" customHeight="true" outlineLevel="0" collapsed="false">
      <c r="B36" s="36" t="s">
        <v>181</v>
      </c>
      <c r="C36" s="37" t="s">
        <v>182</v>
      </c>
    </row>
    <row r="37" customFormat="false" ht="18" hidden="false" customHeight="true" outlineLevel="0" collapsed="false">
      <c r="B37" s="36" t="s">
        <v>183</v>
      </c>
      <c r="C37" s="37" t="s">
        <v>184</v>
      </c>
    </row>
    <row r="38" customFormat="false" ht="18" hidden="false" customHeight="true" outlineLevel="0" collapsed="false">
      <c r="B38" s="36" t="s">
        <v>185</v>
      </c>
      <c r="C38" s="37" t="s">
        <v>186</v>
      </c>
    </row>
    <row r="39" customFormat="false" ht="18" hidden="false" customHeight="true" outlineLevel="0" collapsed="false">
      <c r="B39" s="36" t="s">
        <v>187</v>
      </c>
      <c r="C39" s="37" t="s">
        <v>188</v>
      </c>
    </row>
    <row r="40" customFormat="false" ht="18" hidden="false" customHeight="true" outlineLevel="0" collapsed="false">
      <c r="B40" s="36" t="s">
        <v>189</v>
      </c>
      <c r="C40" s="37" t="s">
        <v>190</v>
      </c>
    </row>
    <row r="41" customFormat="false" ht="18" hidden="false" customHeight="true" outlineLevel="0" collapsed="false">
      <c r="B41" s="36" t="s">
        <v>191</v>
      </c>
      <c r="C41" s="37" t="s">
        <v>37</v>
      </c>
    </row>
    <row r="42" customFormat="false" ht="21.75" hidden="false" customHeight="true" outlineLevel="0" collapsed="false">
      <c r="A42" s="35" t="s">
        <v>192</v>
      </c>
      <c r="B42" s="35"/>
      <c r="C42" s="35"/>
    </row>
    <row r="43" customFormat="false" ht="18" hidden="false" customHeight="true" outlineLevel="0" collapsed="false">
      <c r="B43" s="36" t="s">
        <v>193</v>
      </c>
      <c r="C43" s="37" t="s">
        <v>194</v>
      </c>
    </row>
    <row r="44" customFormat="false" ht="18" hidden="false" customHeight="true" outlineLevel="0" collapsed="false">
      <c r="B44" s="36" t="s">
        <v>195</v>
      </c>
      <c r="C44" s="37" t="s">
        <v>196</v>
      </c>
    </row>
    <row r="45" customFormat="false" ht="18" hidden="false" customHeight="true" outlineLevel="0" collapsed="false">
      <c r="B45" s="36" t="s">
        <v>197</v>
      </c>
      <c r="C45" s="37" t="s">
        <v>198</v>
      </c>
    </row>
    <row r="46" customFormat="false" ht="18" hidden="false" customHeight="true" outlineLevel="0" collapsed="false">
      <c r="B46" s="36" t="s">
        <v>199</v>
      </c>
      <c r="C46" s="37" t="s">
        <v>200</v>
      </c>
    </row>
    <row r="47" customFormat="false" ht="30" hidden="false" customHeight="true" outlineLevel="0" collapsed="false">
      <c r="B47" s="36" t="s">
        <v>201</v>
      </c>
      <c r="C47" s="37" t="s">
        <v>202</v>
      </c>
    </row>
  </sheetData>
  <mergeCells count="12">
    <mergeCell ref="A1:C1"/>
    <mergeCell ref="A3:C3"/>
    <mergeCell ref="A5:C5"/>
    <mergeCell ref="A12:C12"/>
    <mergeCell ref="A13:C13"/>
    <mergeCell ref="A18:C18"/>
    <mergeCell ref="A20:C20"/>
    <mergeCell ref="A23:C23"/>
    <mergeCell ref="A24:C24"/>
    <mergeCell ref="A29:C29"/>
    <mergeCell ref="A34:C34"/>
    <mergeCell ref="A42:C42"/>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K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24"/>
    <col collapsed="false" customWidth="true" hidden="false" outlineLevel="0" max="4" min="4" style="1" width="15"/>
    <col collapsed="false" customWidth="true" hidden="false" outlineLevel="0" max="11" min="11" style="1" width="17"/>
  </cols>
  <sheetData>
    <row r="1" customFormat="false" ht="15" hidden="false" customHeight="true" outlineLevel="0" collapsed="false">
      <c r="A1" s="38" t="s">
        <v>203</v>
      </c>
      <c r="B1" s="38"/>
      <c r="C1" s="38"/>
      <c r="D1" s="38"/>
      <c r="E1" s="38"/>
      <c r="F1" s="38"/>
      <c r="G1" s="38"/>
      <c r="H1" s="38"/>
      <c r="I1" s="38"/>
      <c r="J1" s="38"/>
      <c r="K1" s="38"/>
    </row>
    <row r="2" customFormat="false" ht="15" hidden="false" customHeight="true" outlineLevel="0" collapsed="false">
      <c r="A2" s="39" t="s">
        <v>204</v>
      </c>
      <c r="B2" s="39"/>
      <c r="C2" s="39"/>
      <c r="D2" s="39"/>
      <c r="E2" s="39"/>
      <c r="F2" s="39"/>
      <c r="G2" s="39"/>
      <c r="H2" s="39"/>
      <c r="I2" s="39"/>
      <c r="J2" s="39"/>
      <c r="K2" s="39"/>
    </row>
    <row r="3" customFormat="false" ht="15" hidden="false" customHeight="true" outlineLevel="0" collapsed="false">
      <c r="A3" s="40" t="s">
        <v>56</v>
      </c>
    </row>
    <row r="4" customFormat="false" ht="15" hidden="false" customHeight="true" outlineLevel="0" collapsed="false">
      <c r="A4" s="41" t="s">
        <v>205</v>
      </c>
      <c r="B4" s="41" t="s">
        <v>206</v>
      </c>
      <c r="C4" s="41" t="s">
        <v>207</v>
      </c>
      <c r="D4" s="42" t="s">
        <v>208</v>
      </c>
      <c r="E4" s="43" t="s">
        <v>209</v>
      </c>
      <c r="F4" s="43" t="s">
        <v>210</v>
      </c>
      <c r="G4" s="43" t="s">
        <v>211</v>
      </c>
      <c r="H4" s="44" t="s">
        <v>212</v>
      </c>
      <c r="I4" s="45" t="s">
        <v>213</v>
      </c>
      <c r="J4" s="45" t="s">
        <v>214</v>
      </c>
      <c r="K4" s="46" t="s">
        <v>215</v>
      </c>
    </row>
    <row r="5" customFormat="false" ht="77.25" hidden="false" customHeight="true" outlineLevel="0" collapsed="false">
      <c r="A5" s="47" t="s">
        <v>216</v>
      </c>
      <c r="B5" s="48" t="s">
        <v>217</v>
      </c>
      <c r="C5" s="48" t="s">
        <v>218</v>
      </c>
      <c r="D5" s="49" t="s">
        <v>219</v>
      </c>
      <c r="E5" s="49" t="s">
        <v>220</v>
      </c>
      <c r="F5" s="49" t="s">
        <v>221</v>
      </c>
      <c r="G5" s="49" t="s">
        <v>222</v>
      </c>
      <c r="H5" s="49" t="s">
        <v>223</v>
      </c>
      <c r="I5" s="49" t="s">
        <v>224</v>
      </c>
      <c r="J5" s="49" t="s">
        <v>225</v>
      </c>
      <c r="K5" s="50" t="s">
        <v>218</v>
      </c>
    </row>
    <row r="6" customFormat="false" ht="61.5" hidden="false" customHeight="true" outlineLevel="0" collapsed="false">
      <c r="A6" s="47" t="s">
        <v>226</v>
      </c>
      <c r="B6" s="48" t="s">
        <v>217</v>
      </c>
      <c r="C6" s="48" t="s">
        <v>227</v>
      </c>
      <c r="D6" s="49" t="s">
        <v>228</v>
      </c>
      <c r="E6" s="49" t="s">
        <v>229</v>
      </c>
      <c r="F6" s="49" t="s">
        <v>230</v>
      </c>
      <c r="G6" s="49" t="s">
        <v>231</v>
      </c>
      <c r="H6" s="49" t="s">
        <v>232</v>
      </c>
      <c r="I6" s="49" t="s">
        <v>233</v>
      </c>
      <c r="J6" s="49" t="s">
        <v>234</v>
      </c>
      <c r="K6" s="50" t="s">
        <v>227</v>
      </c>
    </row>
    <row r="7" customFormat="false" ht="77.25" hidden="false" customHeight="true" outlineLevel="0" collapsed="false">
      <c r="A7" s="47" t="s">
        <v>235</v>
      </c>
      <c r="B7" s="48" t="s">
        <v>236</v>
      </c>
      <c r="C7" s="48" t="s">
        <v>237</v>
      </c>
      <c r="D7" s="49" t="s">
        <v>238</v>
      </c>
      <c r="E7" s="49" t="s">
        <v>239</v>
      </c>
      <c r="F7" s="49" t="s">
        <v>240</v>
      </c>
      <c r="G7" s="49" t="s">
        <v>241</v>
      </c>
      <c r="H7" s="49" t="s">
        <v>242</v>
      </c>
      <c r="I7" s="49" t="s">
        <v>243</v>
      </c>
      <c r="J7" s="49" t="s">
        <v>244</v>
      </c>
      <c r="K7" s="50" t="s">
        <v>237</v>
      </c>
    </row>
    <row r="8" customFormat="false" ht="93" hidden="false" customHeight="true" outlineLevel="0" collapsed="false">
      <c r="A8" s="47" t="s">
        <v>245</v>
      </c>
      <c r="B8" s="48" t="s">
        <v>236</v>
      </c>
      <c r="C8" s="48" t="s">
        <v>246</v>
      </c>
      <c r="D8" s="49" t="s">
        <v>247</v>
      </c>
      <c r="E8" s="49" t="s">
        <v>248</v>
      </c>
      <c r="F8" s="49" t="s">
        <v>249</v>
      </c>
      <c r="G8" s="49" t="s">
        <v>250</v>
      </c>
      <c r="H8" s="49" t="s">
        <v>251</v>
      </c>
      <c r="I8" s="49" t="s">
        <v>252</v>
      </c>
      <c r="J8" s="49" t="s">
        <v>253</v>
      </c>
      <c r="K8" s="50" t="s">
        <v>246</v>
      </c>
    </row>
    <row r="9" customFormat="false" ht="232.5" hidden="false" customHeight="true" outlineLevel="0" collapsed="false">
      <c r="A9" s="47" t="s">
        <v>254</v>
      </c>
      <c r="B9" s="48" t="s">
        <v>255</v>
      </c>
      <c r="C9" s="48" t="s">
        <v>256</v>
      </c>
      <c r="D9" s="49" t="s">
        <v>257</v>
      </c>
      <c r="E9" s="49" t="s">
        <v>258</v>
      </c>
      <c r="F9" s="49" t="s">
        <v>259</v>
      </c>
      <c r="G9" s="49" t="s">
        <v>260</v>
      </c>
      <c r="H9" s="49" t="s">
        <v>261</v>
      </c>
      <c r="I9" s="49" t="s">
        <v>262</v>
      </c>
      <c r="J9" s="49" t="s">
        <v>263</v>
      </c>
      <c r="K9" s="50" t="s">
        <v>256</v>
      </c>
    </row>
    <row r="10" customFormat="false" ht="263.25" hidden="false" customHeight="true" outlineLevel="0" collapsed="false">
      <c r="A10" s="47" t="s">
        <v>264</v>
      </c>
      <c r="B10" s="48" t="s">
        <v>255</v>
      </c>
      <c r="C10" s="48" t="s">
        <v>265</v>
      </c>
      <c r="D10" s="49" t="s">
        <v>266</v>
      </c>
      <c r="E10" s="49" t="s">
        <v>267</v>
      </c>
      <c r="F10" s="49" t="s">
        <v>268</v>
      </c>
      <c r="G10" s="49" t="s">
        <v>269</v>
      </c>
      <c r="H10" s="49" t="s">
        <v>270</v>
      </c>
      <c r="I10" s="49" t="s">
        <v>271</v>
      </c>
      <c r="J10" s="49" t="s">
        <v>272</v>
      </c>
      <c r="K10" s="50" t="s">
        <v>265</v>
      </c>
    </row>
    <row r="11" customFormat="false" ht="154.5" hidden="false" customHeight="true" outlineLevel="0" collapsed="false">
      <c r="A11" s="47" t="s">
        <v>273</v>
      </c>
      <c r="B11" s="48" t="s">
        <v>255</v>
      </c>
      <c r="C11" s="48" t="s">
        <v>274</v>
      </c>
      <c r="D11" s="49" t="s">
        <v>275</v>
      </c>
      <c r="E11" s="49" t="s">
        <v>276</v>
      </c>
      <c r="F11" s="49" t="s">
        <v>277</v>
      </c>
      <c r="G11" s="49" t="s">
        <v>278</v>
      </c>
      <c r="H11" s="49" t="s">
        <v>279</v>
      </c>
      <c r="I11" s="49" t="s">
        <v>280</v>
      </c>
      <c r="J11" s="49" t="s">
        <v>281</v>
      </c>
      <c r="K11" s="50" t="s">
        <v>274</v>
      </c>
    </row>
    <row r="12" customFormat="false" ht="77.25" hidden="false" customHeight="true" outlineLevel="0" collapsed="false">
      <c r="A12" s="47" t="s">
        <v>282</v>
      </c>
      <c r="B12" s="48" t="s">
        <v>255</v>
      </c>
      <c r="C12" s="48" t="s">
        <v>283</v>
      </c>
      <c r="D12" s="49" t="s">
        <v>284</v>
      </c>
      <c r="E12" s="49" t="s">
        <v>285</v>
      </c>
      <c r="F12" s="49" t="s">
        <v>286</v>
      </c>
      <c r="G12" s="49" t="s">
        <v>287</v>
      </c>
      <c r="H12" s="49" t="s">
        <v>288</v>
      </c>
      <c r="I12" s="49" t="s">
        <v>289</v>
      </c>
      <c r="J12" s="49" t="s">
        <v>290</v>
      </c>
      <c r="K12" s="50" t="s">
        <v>283</v>
      </c>
    </row>
    <row r="13" customFormat="false" ht="294" hidden="false" customHeight="true" outlineLevel="0" collapsed="false">
      <c r="A13" s="47" t="s">
        <v>291</v>
      </c>
      <c r="B13" s="48" t="s">
        <v>292</v>
      </c>
      <c r="C13" s="48" t="s">
        <v>293</v>
      </c>
      <c r="D13" s="49" t="s">
        <v>294</v>
      </c>
      <c r="E13" s="49" t="s">
        <v>295</v>
      </c>
      <c r="F13" s="49" t="s">
        <v>296</v>
      </c>
      <c r="G13" s="49" t="s">
        <v>297</v>
      </c>
      <c r="H13" s="49" t="s">
        <v>298</v>
      </c>
      <c r="I13" s="49" t="s">
        <v>299</v>
      </c>
      <c r="J13" s="49" t="s">
        <v>300</v>
      </c>
      <c r="K13" s="50" t="s">
        <v>293</v>
      </c>
    </row>
    <row r="14" customFormat="false" ht="77.25" hidden="false" customHeight="true" outlineLevel="0" collapsed="false">
      <c r="A14" s="47" t="s">
        <v>301</v>
      </c>
      <c r="B14" s="48" t="s">
        <v>292</v>
      </c>
      <c r="C14" s="48" t="s">
        <v>302</v>
      </c>
      <c r="D14" s="49" t="s">
        <v>303</v>
      </c>
      <c r="E14" s="49" t="s">
        <v>304</v>
      </c>
      <c r="F14" s="49" t="s">
        <v>305</v>
      </c>
      <c r="G14" s="49" t="s">
        <v>306</v>
      </c>
      <c r="H14" s="49" t="s">
        <v>307</v>
      </c>
      <c r="I14" s="49" t="s">
        <v>308</v>
      </c>
      <c r="J14" s="49" t="s">
        <v>309</v>
      </c>
      <c r="K14" s="50" t="s">
        <v>302</v>
      </c>
    </row>
    <row r="15" customFormat="false" ht="123.75" hidden="false" customHeight="true" outlineLevel="0" collapsed="false">
      <c r="A15" s="47" t="s">
        <v>310</v>
      </c>
      <c r="B15" s="48" t="s">
        <v>311</v>
      </c>
      <c r="C15" s="48" t="s">
        <v>312</v>
      </c>
      <c r="D15" s="49" t="s">
        <v>313</v>
      </c>
      <c r="E15" s="49" t="s">
        <v>314</v>
      </c>
      <c r="F15" s="49" t="s">
        <v>315</v>
      </c>
      <c r="G15" s="49" t="s">
        <v>316</v>
      </c>
      <c r="H15" s="49" t="s">
        <v>317</v>
      </c>
      <c r="I15" s="49" t="s">
        <v>318</v>
      </c>
      <c r="J15" s="49" t="s">
        <v>319</v>
      </c>
      <c r="K15" s="50" t="s">
        <v>312</v>
      </c>
    </row>
    <row r="16" customFormat="false" ht="123.75" hidden="false" customHeight="true" outlineLevel="0" collapsed="false">
      <c r="A16" s="47" t="s">
        <v>320</v>
      </c>
      <c r="B16" s="48" t="s">
        <v>311</v>
      </c>
      <c r="C16" s="48" t="s">
        <v>321</v>
      </c>
      <c r="D16" s="49" t="s">
        <v>322</v>
      </c>
      <c r="E16" s="49" t="s">
        <v>323</v>
      </c>
      <c r="F16" s="49" t="s">
        <v>324</v>
      </c>
      <c r="G16" s="49" t="s">
        <v>325</v>
      </c>
      <c r="H16" s="49" t="s">
        <v>326</v>
      </c>
      <c r="I16" s="49" t="s">
        <v>327</v>
      </c>
      <c r="J16" s="49" t="s">
        <v>328</v>
      </c>
      <c r="K16" s="50" t="s">
        <v>321</v>
      </c>
    </row>
    <row r="17" customFormat="false" ht="108" hidden="false" customHeight="true" outlineLevel="0" collapsed="false">
      <c r="A17" s="47" t="s">
        <v>329</v>
      </c>
      <c r="B17" s="48" t="s">
        <v>330</v>
      </c>
      <c r="C17" s="48" t="s">
        <v>331</v>
      </c>
      <c r="D17" s="49" t="s">
        <v>332</v>
      </c>
      <c r="E17" s="49" t="s">
        <v>333</v>
      </c>
      <c r="F17" s="49" t="s">
        <v>334</v>
      </c>
      <c r="G17" s="49" t="s">
        <v>335</v>
      </c>
      <c r="H17" s="49" t="s">
        <v>336</v>
      </c>
      <c r="I17" s="49" t="s">
        <v>337</v>
      </c>
      <c r="J17" s="49" t="s">
        <v>338</v>
      </c>
      <c r="K17" s="50" t="s">
        <v>331</v>
      </c>
    </row>
    <row r="18" customFormat="false" ht="154.5" hidden="false" customHeight="true" outlineLevel="0" collapsed="false">
      <c r="A18" s="47" t="s">
        <v>339</v>
      </c>
      <c r="B18" s="48" t="s">
        <v>330</v>
      </c>
      <c r="C18" s="48" t="s">
        <v>340</v>
      </c>
      <c r="D18" s="49" t="s">
        <v>341</v>
      </c>
      <c r="E18" s="49" t="s">
        <v>342</v>
      </c>
      <c r="F18" s="49" t="s">
        <v>343</v>
      </c>
      <c r="G18" s="49" t="s">
        <v>344</v>
      </c>
      <c r="H18" s="49" t="s">
        <v>345</v>
      </c>
      <c r="I18" s="49" t="s">
        <v>346</v>
      </c>
      <c r="J18" s="49" t="s">
        <v>347</v>
      </c>
      <c r="K18" s="50" t="s">
        <v>340</v>
      </c>
    </row>
    <row r="19" customFormat="false" ht="77.25" hidden="false" customHeight="true" outlineLevel="0" collapsed="false">
      <c r="A19" s="47" t="s">
        <v>348</v>
      </c>
      <c r="B19" s="48" t="s">
        <v>330</v>
      </c>
      <c r="C19" s="48" t="s">
        <v>349</v>
      </c>
      <c r="D19" s="49" t="s">
        <v>350</v>
      </c>
      <c r="E19" s="49" t="s">
        <v>351</v>
      </c>
      <c r="F19" s="49" t="s">
        <v>352</v>
      </c>
      <c r="G19" s="49" t="s">
        <v>353</v>
      </c>
      <c r="H19" s="49" t="s">
        <v>354</v>
      </c>
      <c r="I19" s="49" t="s">
        <v>355</v>
      </c>
      <c r="J19" s="49" t="s">
        <v>356</v>
      </c>
      <c r="K19" s="50" t="s">
        <v>349</v>
      </c>
    </row>
    <row r="20" customFormat="false" ht="154.5" hidden="false" customHeight="true" outlineLevel="0" collapsed="false">
      <c r="A20" s="47" t="s">
        <v>357</v>
      </c>
      <c r="B20" s="48" t="s">
        <v>330</v>
      </c>
      <c r="C20" s="48" t="s">
        <v>358</v>
      </c>
      <c r="D20" s="49" t="s">
        <v>359</v>
      </c>
      <c r="E20" s="49" t="s">
        <v>360</v>
      </c>
      <c r="F20" s="49" t="s">
        <v>361</v>
      </c>
      <c r="G20" s="49" t="s">
        <v>362</v>
      </c>
      <c r="H20" s="49" t="s">
        <v>363</v>
      </c>
      <c r="I20" s="49" t="s">
        <v>364</v>
      </c>
      <c r="J20" s="49" t="s">
        <v>365</v>
      </c>
      <c r="K20" s="50" t="s">
        <v>358</v>
      </c>
    </row>
    <row r="21" customFormat="false" ht="61.5" hidden="false" customHeight="true" outlineLevel="0" collapsed="false">
      <c r="A21" s="47" t="s">
        <v>366</v>
      </c>
      <c r="B21" s="48" t="s">
        <v>330</v>
      </c>
      <c r="C21" s="48" t="s">
        <v>367</v>
      </c>
      <c r="D21" s="49" t="s">
        <v>368</v>
      </c>
      <c r="E21" s="49" t="s">
        <v>369</v>
      </c>
      <c r="F21" s="49" t="s">
        <v>370</v>
      </c>
      <c r="G21" s="49" t="s">
        <v>371</v>
      </c>
      <c r="H21" s="49" t="s">
        <v>372</v>
      </c>
      <c r="I21" s="49" t="s">
        <v>373</v>
      </c>
      <c r="J21" s="49" t="s">
        <v>374</v>
      </c>
      <c r="K21" s="50" t="s">
        <v>367</v>
      </c>
    </row>
    <row r="22" customFormat="false" ht="61.5" hidden="false" customHeight="true" outlineLevel="0" collapsed="false">
      <c r="A22" s="47" t="s">
        <v>375</v>
      </c>
      <c r="B22" s="48" t="s">
        <v>376</v>
      </c>
      <c r="C22" s="48" t="s">
        <v>377</v>
      </c>
      <c r="D22" s="49" t="s">
        <v>378</v>
      </c>
      <c r="E22" s="49" t="s">
        <v>379</v>
      </c>
      <c r="F22" s="49" t="s">
        <v>380</v>
      </c>
      <c r="G22" s="49" t="s">
        <v>381</v>
      </c>
      <c r="H22" s="49" t="s">
        <v>382</v>
      </c>
      <c r="I22" s="49" t="s">
        <v>383</v>
      </c>
      <c r="J22" s="49" t="s">
        <v>384</v>
      </c>
      <c r="K22" s="50" t="s">
        <v>377</v>
      </c>
    </row>
    <row r="23" customFormat="false" ht="108" hidden="false" customHeight="true" outlineLevel="0" collapsed="false">
      <c r="A23" s="47" t="s">
        <v>385</v>
      </c>
      <c r="B23" s="48" t="s">
        <v>376</v>
      </c>
      <c r="C23" s="48" t="s">
        <v>386</v>
      </c>
      <c r="D23" s="49" t="s">
        <v>387</v>
      </c>
      <c r="E23" s="49" t="s">
        <v>388</v>
      </c>
      <c r="F23" s="49" t="s">
        <v>389</v>
      </c>
      <c r="G23" s="49" t="s">
        <v>390</v>
      </c>
      <c r="H23" s="49" t="s">
        <v>391</v>
      </c>
      <c r="I23" s="49" t="s">
        <v>392</v>
      </c>
      <c r="J23" s="49" t="s">
        <v>393</v>
      </c>
      <c r="K23" s="50" t="s">
        <v>386</v>
      </c>
    </row>
    <row r="24" customFormat="false" ht="77.25" hidden="false" customHeight="true" outlineLevel="0" collapsed="false">
      <c r="A24" s="47" t="s">
        <v>394</v>
      </c>
      <c r="B24" s="50" t="s">
        <v>395</v>
      </c>
      <c r="C24" s="50" t="s">
        <v>396</v>
      </c>
      <c r="D24" s="49" t="s">
        <v>397</v>
      </c>
      <c r="E24" s="49" t="s">
        <v>398</v>
      </c>
      <c r="F24" s="49" t="s">
        <v>399</v>
      </c>
      <c r="G24" s="49" t="s">
        <v>400</v>
      </c>
      <c r="H24" s="49" t="s">
        <v>401</v>
      </c>
      <c r="I24" s="49" t="s">
        <v>402</v>
      </c>
      <c r="J24" s="49" t="s">
        <v>403</v>
      </c>
      <c r="K24" s="50" t="s">
        <v>396</v>
      </c>
    </row>
    <row r="25" customFormat="false" ht="61.5" hidden="false" customHeight="true" outlineLevel="0" collapsed="false">
      <c r="A25" s="47" t="s">
        <v>404</v>
      </c>
      <c r="B25" s="50" t="s">
        <v>395</v>
      </c>
      <c r="C25" s="50" t="s">
        <v>405</v>
      </c>
      <c r="D25" s="49" t="s">
        <v>406</v>
      </c>
      <c r="E25" s="49" t="s">
        <v>407</v>
      </c>
      <c r="F25" s="49" t="s">
        <v>408</v>
      </c>
      <c r="G25" s="49" t="s">
        <v>409</v>
      </c>
      <c r="H25" s="49" t="s">
        <v>410</v>
      </c>
      <c r="I25" s="49" t="s">
        <v>411</v>
      </c>
      <c r="J25" s="49" t="s">
        <v>412</v>
      </c>
      <c r="K25" s="50" t="s">
        <v>405</v>
      </c>
    </row>
    <row r="26" customFormat="false" ht="77.25" hidden="false" customHeight="true" outlineLevel="0" collapsed="false">
      <c r="A26" s="47" t="s">
        <v>413</v>
      </c>
      <c r="B26" s="50" t="s">
        <v>395</v>
      </c>
      <c r="C26" s="50" t="s">
        <v>414</v>
      </c>
      <c r="D26" s="49" t="s">
        <v>415</v>
      </c>
      <c r="E26" s="49" t="s">
        <v>416</v>
      </c>
      <c r="F26" s="49" t="s">
        <v>417</v>
      </c>
      <c r="G26" s="49" t="s">
        <v>418</v>
      </c>
      <c r="H26" s="49" t="s">
        <v>419</v>
      </c>
      <c r="I26" s="49" t="s">
        <v>420</v>
      </c>
      <c r="J26" s="49" t="s">
        <v>421</v>
      </c>
      <c r="K26" s="50" t="s">
        <v>414</v>
      </c>
    </row>
    <row r="27" customFormat="false" ht="61.5" hidden="false" customHeight="true" outlineLevel="0" collapsed="false">
      <c r="A27" s="47" t="s">
        <v>422</v>
      </c>
      <c r="B27" s="50" t="s">
        <v>423</v>
      </c>
      <c r="C27" s="50" t="s">
        <v>424</v>
      </c>
      <c r="D27" s="49" t="s">
        <v>425</v>
      </c>
      <c r="E27" s="49" t="s">
        <v>426</v>
      </c>
      <c r="F27" s="49" t="s">
        <v>427</v>
      </c>
      <c r="G27" s="49" t="s">
        <v>428</v>
      </c>
      <c r="H27" s="49" t="s">
        <v>429</v>
      </c>
      <c r="I27" s="49" t="s">
        <v>430</v>
      </c>
      <c r="J27" s="49" t="s">
        <v>431</v>
      </c>
      <c r="K27" s="50" t="s">
        <v>424</v>
      </c>
    </row>
    <row r="28" customFormat="false" ht="77.25" hidden="false" customHeight="true" outlineLevel="0" collapsed="false">
      <c r="A28" s="47" t="s">
        <v>432</v>
      </c>
      <c r="B28" s="50" t="s">
        <v>423</v>
      </c>
      <c r="C28" s="50" t="s">
        <v>433</v>
      </c>
      <c r="D28" s="49" t="s">
        <v>434</v>
      </c>
      <c r="E28" s="49" t="s">
        <v>435</v>
      </c>
      <c r="F28" s="49" t="s">
        <v>436</v>
      </c>
      <c r="G28" s="49" t="s">
        <v>437</v>
      </c>
      <c r="H28" s="49" t="s">
        <v>438</v>
      </c>
      <c r="I28" s="49" t="s">
        <v>439</v>
      </c>
      <c r="J28" s="49" t="s">
        <v>440</v>
      </c>
      <c r="K28" s="50" t="s">
        <v>433</v>
      </c>
    </row>
    <row r="29" customFormat="false" ht="61.5" hidden="false" customHeight="true" outlineLevel="0" collapsed="false">
      <c r="A29" s="47" t="s">
        <v>441</v>
      </c>
      <c r="B29" s="50" t="s">
        <v>423</v>
      </c>
      <c r="C29" s="50" t="s">
        <v>442</v>
      </c>
      <c r="D29" s="49" t="s">
        <v>443</v>
      </c>
      <c r="E29" s="49" t="s">
        <v>444</v>
      </c>
      <c r="F29" s="49" t="s">
        <v>445</v>
      </c>
      <c r="G29" s="49" t="s">
        <v>446</v>
      </c>
      <c r="H29" s="49" t="s">
        <v>447</v>
      </c>
      <c r="I29" s="49" t="s">
        <v>448</v>
      </c>
      <c r="J29" s="49" t="s">
        <v>449</v>
      </c>
      <c r="K29" s="50" t="s">
        <v>442</v>
      </c>
    </row>
    <row r="30" customFormat="false" ht="77.25" hidden="false" customHeight="true" outlineLevel="0" collapsed="false">
      <c r="A30" s="47" t="s">
        <v>450</v>
      </c>
      <c r="B30" s="50" t="s">
        <v>451</v>
      </c>
      <c r="C30" s="50" t="s">
        <v>452</v>
      </c>
      <c r="D30" s="49" t="s">
        <v>453</v>
      </c>
      <c r="E30" s="49" t="s">
        <v>454</v>
      </c>
      <c r="F30" s="49" t="s">
        <v>455</v>
      </c>
      <c r="G30" s="49" t="s">
        <v>456</v>
      </c>
      <c r="H30" s="49" t="s">
        <v>457</v>
      </c>
      <c r="I30" s="49" t="s">
        <v>458</v>
      </c>
      <c r="J30" s="49" t="s">
        <v>459</v>
      </c>
      <c r="K30" s="50" t="s">
        <v>452</v>
      </c>
    </row>
    <row r="31" customFormat="false" ht="61.5" hidden="false" customHeight="true" outlineLevel="0" collapsed="false">
      <c r="A31" s="47" t="s">
        <v>460</v>
      </c>
      <c r="B31" s="50" t="s">
        <v>451</v>
      </c>
      <c r="C31" s="50" t="s">
        <v>461</v>
      </c>
      <c r="D31" s="49" t="s">
        <v>462</v>
      </c>
      <c r="E31" s="49" t="s">
        <v>463</v>
      </c>
      <c r="F31" s="49" t="s">
        <v>464</v>
      </c>
      <c r="G31" s="49" t="s">
        <v>465</v>
      </c>
      <c r="H31" s="49" t="s">
        <v>466</v>
      </c>
      <c r="I31" s="49" t="s">
        <v>467</v>
      </c>
      <c r="J31" s="49" t="s">
        <v>468</v>
      </c>
      <c r="K31" s="50" t="s">
        <v>461</v>
      </c>
    </row>
    <row r="32" customFormat="false" ht="61.5" hidden="false" customHeight="true" outlineLevel="0" collapsed="false">
      <c r="A32" s="47" t="s">
        <v>469</v>
      </c>
      <c r="B32" s="50" t="s">
        <v>451</v>
      </c>
      <c r="C32" s="50" t="s">
        <v>470</v>
      </c>
      <c r="D32" s="49" t="s">
        <v>471</v>
      </c>
      <c r="E32" s="49" t="s">
        <v>472</v>
      </c>
      <c r="F32" s="49" t="s">
        <v>473</v>
      </c>
      <c r="G32" s="49" t="s">
        <v>474</v>
      </c>
      <c r="H32" s="49" t="s">
        <v>475</v>
      </c>
      <c r="I32" s="49" t="s">
        <v>476</v>
      </c>
      <c r="J32" s="49" t="s">
        <v>477</v>
      </c>
      <c r="K32" s="50" t="s">
        <v>470</v>
      </c>
    </row>
    <row r="33" customFormat="false" ht="77.25" hidden="false" customHeight="true" outlineLevel="0" collapsed="false">
      <c r="A33" s="47" t="s">
        <v>478</v>
      </c>
      <c r="B33" s="50" t="s">
        <v>479</v>
      </c>
      <c r="C33" s="50" t="s">
        <v>480</v>
      </c>
      <c r="D33" s="49" t="s">
        <v>481</v>
      </c>
      <c r="E33" s="49" t="s">
        <v>482</v>
      </c>
      <c r="F33" s="49" t="s">
        <v>483</v>
      </c>
      <c r="G33" s="49" t="s">
        <v>484</v>
      </c>
      <c r="H33" s="49" t="s">
        <v>485</v>
      </c>
      <c r="I33" s="49" t="s">
        <v>486</v>
      </c>
      <c r="J33" s="49" t="s">
        <v>487</v>
      </c>
      <c r="K33" s="50" t="s">
        <v>480</v>
      </c>
    </row>
    <row r="34" customFormat="false" ht="123.75" hidden="false" customHeight="true" outlineLevel="0" collapsed="false">
      <c r="A34" s="47" t="s">
        <v>488</v>
      </c>
      <c r="B34" s="50" t="s">
        <v>479</v>
      </c>
      <c r="C34" s="50" t="s">
        <v>489</v>
      </c>
      <c r="D34" s="49" t="s">
        <v>490</v>
      </c>
      <c r="E34" s="49" t="s">
        <v>491</v>
      </c>
      <c r="F34" s="49" t="s">
        <v>492</v>
      </c>
      <c r="G34" s="49" t="s">
        <v>493</v>
      </c>
      <c r="H34" s="49" t="s">
        <v>494</v>
      </c>
      <c r="I34" s="49" t="s">
        <v>495</v>
      </c>
      <c r="J34" s="49" t="s">
        <v>496</v>
      </c>
      <c r="K34" s="50" t="s">
        <v>489</v>
      </c>
    </row>
    <row r="35" customFormat="false" ht="61.5" hidden="false" customHeight="true" outlineLevel="0" collapsed="false">
      <c r="A35" s="47" t="s">
        <v>497</v>
      </c>
      <c r="B35" s="50" t="s">
        <v>479</v>
      </c>
      <c r="C35" s="50" t="s">
        <v>498</v>
      </c>
      <c r="D35" s="49" t="s">
        <v>499</v>
      </c>
      <c r="E35" s="49" t="s">
        <v>500</v>
      </c>
      <c r="F35" s="49" t="s">
        <v>501</v>
      </c>
      <c r="G35" s="49" t="s">
        <v>502</v>
      </c>
      <c r="H35" s="49" t="s">
        <v>503</v>
      </c>
      <c r="I35" s="49" t="s">
        <v>504</v>
      </c>
      <c r="J35" s="49" t="s">
        <v>505</v>
      </c>
      <c r="K35" s="50" t="s">
        <v>498</v>
      </c>
    </row>
    <row r="36" customFormat="false" ht="61.5" hidden="false" customHeight="true" outlineLevel="0" collapsed="false">
      <c r="A36" s="47" t="s">
        <v>506</v>
      </c>
      <c r="B36" s="50" t="s">
        <v>507</v>
      </c>
      <c r="C36" s="50" t="s">
        <v>508</v>
      </c>
      <c r="D36" s="49" t="s">
        <v>509</v>
      </c>
      <c r="E36" s="49" t="s">
        <v>510</v>
      </c>
      <c r="F36" s="49" t="s">
        <v>511</v>
      </c>
      <c r="G36" s="49" t="s">
        <v>512</v>
      </c>
      <c r="H36" s="49" t="s">
        <v>513</v>
      </c>
      <c r="I36" s="49" t="s">
        <v>514</v>
      </c>
      <c r="J36" s="49" t="s">
        <v>515</v>
      </c>
      <c r="K36" s="50" t="s">
        <v>508</v>
      </c>
    </row>
    <row r="37" customFormat="false" ht="93" hidden="false" customHeight="true" outlineLevel="0" collapsed="false">
      <c r="A37" s="47" t="s">
        <v>516</v>
      </c>
      <c r="B37" s="50" t="s">
        <v>507</v>
      </c>
      <c r="C37" s="50" t="s">
        <v>517</v>
      </c>
      <c r="D37" s="49" t="s">
        <v>518</v>
      </c>
      <c r="E37" s="49" t="s">
        <v>519</v>
      </c>
      <c r="F37" s="49" t="s">
        <v>520</v>
      </c>
      <c r="G37" s="49" t="s">
        <v>521</v>
      </c>
      <c r="H37" s="49" t="s">
        <v>522</v>
      </c>
      <c r="I37" s="49" t="s">
        <v>523</v>
      </c>
      <c r="J37" s="49" t="s">
        <v>524</v>
      </c>
      <c r="K37" s="50" t="s">
        <v>517</v>
      </c>
    </row>
    <row r="38" customFormat="false" ht="77.25" hidden="false" customHeight="true" outlineLevel="0" collapsed="false">
      <c r="A38" s="47" t="s">
        <v>525</v>
      </c>
      <c r="B38" s="50" t="s">
        <v>507</v>
      </c>
      <c r="C38" s="50" t="s">
        <v>526</v>
      </c>
      <c r="D38" s="49" t="s">
        <v>527</v>
      </c>
      <c r="E38" s="49" t="s">
        <v>528</v>
      </c>
      <c r="F38" s="49" t="s">
        <v>529</v>
      </c>
      <c r="G38" s="49" t="s">
        <v>530</v>
      </c>
      <c r="H38" s="49" t="s">
        <v>531</v>
      </c>
      <c r="I38" s="49" t="s">
        <v>532</v>
      </c>
      <c r="J38" s="49" t="s">
        <v>533</v>
      </c>
      <c r="K38" s="50" t="s">
        <v>526</v>
      </c>
    </row>
    <row r="39" customFormat="false" ht="46.5" hidden="false" customHeight="true" outlineLevel="0" collapsed="false">
      <c r="A39" s="47" t="s">
        <v>534</v>
      </c>
      <c r="B39" s="50" t="s">
        <v>535</v>
      </c>
      <c r="C39" s="50" t="s">
        <v>536</v>
      </c>
      <c r="D39" s="49" t="s">
        <v>537</v>
      </c>
      <c r="E39" s="49" t="s">
        <v>538</v>
      </c>
      <c r="F39" s="49" t="s">
        <v>539</v>
      </c>
      <c r="G39" s="49" t="s">
        <v>540</v>
      </c>
      <c r="H39" s="49" t="s">
        <v>541</v>
      </c>
      <c r="I39" s="49" t="s">
        <v>542</v>
      </c>
      <c r="J39" s="49" t="s">
        <v>543</v>
      </c>
      <c r="K39" s="50" t="s">
        <v>536</v>
      </c>
    </row>
    <row r="40" customFormat="false" ht="77.25" hidden="false" customHeight="true" outlineLevel="0" collapsed="false">
      <c r="A40" s="47" t="s">
        <v>544</v>
      </c>
      <c r="B40" s="50" t="s">
        <v>535</v>
      </c>
      <c r="C40" s="50" t="s">
        <v>545</v>
      </c>
      <c r="D40" s="49" t="s">
        <v>546</v>
      </c>
      <c r="E40" s="49" t="s">
        <v>547</v>
      </c>
      <c r="F40" s="49" t="s">
        <v>548</v>
      </c>
      <c r="G40" s="49" t="s">
        <v>549</v>
      </c>
      <c r="H40" s="49" t="s">
        <v>550</v>
      </c>
      <c r="I40" s="49" t="s">
        <v>551</v>
      </c>
      <c r="J40" s="49" t="s">
        <v>552</v>
      </c>
      <c r="K40" s="50" t="s">
        <v>545</v>
      </c>
    </row>
    <row r="41" customFormat="false" ht="77.25" hidden="false" customHeight="true" outlineLevel="0" collapsed="false">
      <c r="A41" s="47" t="s">
        <v>553</v>
      </c>
      <c r="B41" s="50" t="s">
        <v>554</v>
      </c>
      <c r="C41" s="50" t="s">
        <v>555</v>
      </c>
      <c r="D41" s="49" t="s">
        <v>556</v>
      </c>
      <c r="E41" s="49" t="s">
        <v>557</v>
      </c>
      <c r="F41" s="49" t="s">
        <v>558</v>
      </c>
      <c r="G41" s="49" t="s">
        <v>559</v>
      </c>
      <c r="H41" s="49" t="s">
        <v>560</v>
      </c>
      <c r="I41" s="49" t="s">
        <v>561</v>
      </c>
      <c r="J41" s="49" t="s">
        <v>562</v>
      </c>
      <c r="K41" s="50" t="s">
        <v>555</v>
      </c>
    </row>
    <row r="42" customFormat="false" ht="61.5" hidden="false" customHeight="true" outlineLevel="0" collapsed="false">
      <c r="A42" s="47" t="s">
        <v>563</v>
      </c>
      <c r="B42" s="50" t="s">
        <v>554</v>
      </c>
      <c r="C42" s="50" t="s">
        <v>564</v>
      </c>
      <c r="D42" s="49" t="s">
        <v>565</v>
      </c>
      <c r="E42" s="49" t="s">
        <v>566</v>
      </c>
      <c r="F42" s="49" t="s">
        <v>567</v>
      </c>
      <c r="G42" s="49" t="s">
        <v>568</v>
      </c>
      <c r="H42" s="49" t="s">
        <v>569</v>
      </c>
      <c r="I42" s="49" t="s">
        <v>570</v>
      </c>
      <c r="J42" s="49" t="s">
        <v>571</v>
      </c>
      <c r="K42" s="50" t="s">
        <v>564</v>
      </c>
    </row>
    <row r="43" customFormat="false" ht="93" hidden="false" customHeight="true" outlineLevel="0" collapsed="false">
      <c r="A43" s="47" t="s">
        <v>572</v>
      </c>
      <c r="B43" s="50" t="s">
        <v>554</v>
      </c>
      <c r="C43" s="50" t="s">
        <v>573</v>
      </c>
      <c r="D43" s="49" t="s">
        <v>574</v>
      </c>
      <c r="E43" s="49" t="s">
        <v>575</v>
      </c>
      <c r="F43" s="49" t="s">
        <v>576</v>
      </c>
      <c r="G43" s="49" t="s">
        <v>577</v>
      </c>
      <c r="H43" s="49" t="s">
        <v>578</v>
      </c>
      <c r="I43" s="49" t="s">
        <v>579</v>
      </c>
      <c r="J43" s="49" t="s">
        <v>580</v>
      </c>
      <c r="K43" s="50" t="s">
        <v>573</v>
      </c>
    </row>
    <row r="44" customFormat="false" ht="93" hidden="false" customHeight="true" outlineLevel="0" collapsed="false">
      <c r="A44" s="47" t="s">
        <v>581</v>
      </c>
      <c r="B44" s="50" t="s">
        <v>582</v>
      </c>
      <c r="C44" s="50" t="s">
        <v>583</v>
      </c>
      <c r="D44" s="49" t="s">
        <v>584</v>
      </c>
      <c r="E44" s="49" t="s">
        <v>585</v>
      </c>
      <c r="F44" s="49" t="s">
        <v>586</v>
      </c>
      <c r="G44" s="49" t="s">
        <v>587</v>
      </c>
      <c r="H44" s="49" t="s">
        <v>588</v>
      </c>
      <c r="I44" s="49" t="s">
        <v>589</v>
      </c>
      <c r="J44" s="49" t="s">
        <v>590</v>
      </c>
      <c r="K44" s="50" t="s">
        <v>583</v>
      </c>
    </row>
    <row r="45" customFormat="false" ht="61.5" hidden="false" customHeight="true" outlineLevel="0" collapsed="false">
      <c r="A45" s="47" t="s">
        <v>591</v>
      </c>
      <c r="B45" s="50" t="s">
        <v>582</v>
      </c>
      <c r="C45" s="50" t="s">
        <v>592</v>
      </c>
      <c r="D45" s="49" t="s">
        <v>593</v>
      </c>
      <c r="E45" s="49" t="s">
        <v>594</v>
      </c>
      <c r="F45" s="49" t="s">
        <v>595</v>
      </c>
      <c r="G45" s="49" t="s">
        <v>596</v>
      </c>
      <c r="H45" s="49" t="s">
        <v>597</v>
      </c>
      <c r="I45" s="49" t="s">
        <v>598</v>
      </c>
      <c r="J45" s="49" t="s">
        <v>599</v>
      </c>
      <c r="K45" s="50" t="s">
        <v>592</v>
      </c>
    </row>
    <row r="46" customFormat="false" ht="61.5" hidden="false" customHeight="true" outlineLevel="0" collapsed="false">
      <c r="A46" s="47" t="s">
        <v>600</v>
      </c>
      <c r="B46" s="51" t="s">
        <v>601</v>
      </c>
      <c r="C46" s="51" t="s">
        <v>602</v>
      </c>
      <c r="D46" s="49" t="s">
        <v>603</v>
      </c>
      <c r="E46" s="49" t="s">
        <v>604</v>
      </c>
      <c r="F46" s="49" t="s">
        <v>605</v>
      </c>
      <c r="G46" s="49" t="s">
        <v>606</v>
      </c>
      <c r="H46" s="49" t="s">
        <v>607</v>
      </c>
      <c r="I46" s="49" t="s">
        <v>608</v>
      </c>
      <c r="J46" s="49" t="s">
        <v>609</v>
      </c>
      <c r="K46" s="50" t="s">
        <v>602</v>
      </c>
    </row>
    <row r="47" customFormat="false" ht="77.25" hidden="false" customHeight="true" outlineLevel="0" collapsed="false">
      <c r="A47" s="47" t="s">
        <v>610</v>
      </c>
      <c r="B47" s="51" t="s">
        <v>601</v>
      </c>
      <c r="C47" s="51" t="s">
        <v>611</v>
      </c>
      <c r="D47" s="49" t="s">
        <v>612</v>
      </c>
      <c r="E47" s="49" t="s">
        <v>613</v>
      </c>
      <c r="F47" s="49" t="s">
        <v>614</v>
      </c>
      <c r="G47" s="49" t="s">
        <v>615</v>
      </c>
      <c r="H47" s="49" t="s">
        <v>616</v>
      </c>
      <c r="I47" s="49" t="s">
        <v>617</v>
      </c>
      <c r="J47" s="49" t="s">
        <v>618</v>
      </c>
      <c r="K47" s="50" t="s">
        <v>611</v>
      </c>
    </row>
    <row r="48" customFormat="false" ht="61.5" hidden="false" customHeight="true" outlineLevel="0" collapsed="false">
      <c r="A48" s="47" t="s">
        <v>619</v>
      </c>
      <c r="B48" s="51" t="s">
        <v>620</v>
      </c>
      <c r="C48" s="51" t="s">
        <v>621</v>
      </c>
      <c r="D48" s="49" t="s">
        <v>622</v>
      </c>
      <c r="E48" s="49" t="s">
        <v>623</v>
      </c>
      <c r="F48" s="49" t="s">
        <v>624</v>
      </c>
      <c r="G48" s="49" t="s">
        <v>625</v>
      </c>
      <c r="H48" s="49" t="s">
        <v>626</v>
      </c>
      <c r="I48" s="49" t="s">
        <v>627</v>
      </c>
      <c r="J48" s="49" t="s">
        <v>628</v>
      </c>
      <c r="K48" s="50" t="s">
        <v>621</v>
      </c>
    </row>
    <row r="49" customFormat="false" ht="93" hidden="false" customHeight="true" outlineLevel="0" collapsed="false">
      <c r="A49" s="47" t="s">
        <v>629</v>
      </c>
      <c r="B49" s="51" t="s">
        <v>620</v>
      </c>
      <c r="C49" s="51" t="s">
        <v>630</v>
      </c>
      <c r="D49" s="49" t="s">
        <v>631</v>
      </c>
      <c r="E49" s="49" t="s">
        <v>632</v>
      </c>
      <c r="F49" s="49" t="s">
        <v>633</v>
      </c>
      <c r="G49" s="49" t="s">
        <v>634</v>
      </c>
      <c r="H49" s="49" t="s">
        <v>635</v>
      </c>
      <c r="I49" s="49" t="s">
        <v>636</v>
      </c>
      <c r="J49" s="49" t="s">
        <v>637</v>
      </c>
      <c r="K49" s="50" t="s">
        <v>630</v>
      </c>
    </row>
    <row r="50" customFormat="false" ht="61.5" hidden="false" customHeight="true" outlineLevel="0" collapsed="false">
      <c r="A50" s="47" t="s">
        <v>638</v>
      </c>
      <c r="B50" s="51" t="s">
        <v>620</v>
      </c>
      <c r="C50" s="51" t="s">
        <v>639</v>
      </c>
      <c r="D50" s="49" t="s">
        <v>640</v>
      </c>
      <c r="E50" s="49" t="s">
        <v>641</v>
      </c>
      <c r="F50" s="49" t="s">
        <v>642</v>
      </c>
      <c r="G50" s="49" t="s">
        <v>643</v>
      </c>
      <c r="H50" s="49" t="s">
        <v>644</v>
      </c>
      <c r="I50" s="49" t="s">
        <v>645</v>
      </c>
      <c r="J50" s="49" t="s">
        <v>646</v>
      </c>
      <c r="K50" s="50" t="s">
        <v>639</v>
      </c>
    </row>
    <row r="51" customFormat="false" ht="77.25" hidden="false" customHeight="true" outlineLevel="0" collapsed="false">
      <c r="A51" s="47" t="s">
        <v>647</v>
      </c>
      <c r="B51" s="51" t="s">
        <v>620</v>
      </c>
      <c r="C51" s="51" t="s">
        <v>648</v>
      </c>
      <c r="D51" s="49" t="s">
        <v>649</v>
      </c>
      <c r="E51" s="49" t="s">
        <v>650</v>
      </c>
      <c r="F51" s="49" t="s">
        <v>651</v>
      </c>
      <c r="G51" s="49" t="s">
        <v>652</v>
      </c>
      <c r="H51" s="49" t="s">
        <v>653</v>
      </c>
      <c r="I51" s="49" t="s">
        <v>654</v>
      </c>
      <c r="J51" s="49" t="s">
        <v>655</v>
      </c>
      <c r="K51" s="50" t="s">
        <v>648</v>
      </c>
    </row>
    <row r="52" customFormat="false" ht="123.75" hidden="false" customHeight="true" outlineLevel="0" collapsed="false">
      <c r="A52" s="47" t="s">
        <v>656</v>
      </c>
      <c r="B52" s="51" t="s">
        <v>620</v>
      </c>
      <c r="C52" s="51" t="s">
        <v>657</v>
      </c>
      <c r="D52" s="49" t="s">
        <v>556</v>
      </c>
      <c r="E52" s="49" t="s">
        <v>658</v>
      </c>
      <c r="F52" s="49" t="s">
        <v>659</v>
      </c>
      <c r="G52" s="49" t="s">
        <v>660</v>
      </c>
      <c r="H52" s="49" t="s">
        <v>661</v>
      </c>
      <c r="I52" s="49" t="s">
        <v>662</v>
      </c>
      <c r="J52" s="49" t="s">
        <v>663</v>
      </c>
      <c r="K52" s="50" t="s">
        <v>657</v>
      </c>
    </row>
    <row r="53" customFormat="false" ht="93" hidden="false" customHeight="true" outlineLevel="0" collapsed="false">
      <c r="A53" s="47" t="s">
        <v>664</v>
      </c>
      <c r="B53" s="51" t="s">
        <v>665</v>
      </c>
      <c r="C53" s="51" t="s">
        <v>666</v>
      </c>
      <c r="D53" s="49" t="s">
        <v>667</v>
      </c>
      <c r="E53" s="49" t="s">
        <v>668</v>
      </c>
      <c r="F53" s="49" t="s">
        <v>669</v>
      </c>
      <c r="G53" s="49" t="s">
        <v>670</v>
      </c>
      <c r="H53" s="49" t="s">
        <v>671</v>
      </c>
      <c r="I53" s="49" t="s">
        <v>672</v>
      </c>
      <c r="J53" s="49" t="s">
        <v>673</v>
      </c>
      <c r="K53" s="50" t="s">
        <v>666</v>
      </c>
    </row>
    <row r="54" customFormat="false" ht="61.5" hidden="false" customHeight="true" outlineLevel="0" collapsed="false">
      <c r="A54" s="47" t="s">
        <v>674</v>
      </c>
      <c r="B54" s="51" t="s">
        <v>665</v>
      </c>
      <c r="C54" s="51" t="s">
        <v>675</v>
      </c>
      <c r="D54" s="49" t="s">
        <v>676</v>
      </c>
      <c r="E54" s="49" t="s">
        <v>677</v>
      </c>
      <c r="F54" s="49" t="s">
        <v>678</v>
      </c>
      <c r="G54" s="49" t="s">
        <v>679</v>
      </c>
      <c r="H54" s="49" t="s">
        <v>680</v>
      </c>
      <c r="I54" s="49" t="s">
        <v>681</v>
      </c>
      <c r="J54" s="49" t="s">
        <v>682</v>
      </c>
      <c r="K54" s="50" t="s">
        <v>675</v>
      </c>
    </row>
    <row r="55" customFormat="false" ht="77.25" hidden="false" customHeight="true" outlineLevel="0" collapsed="false">
      <c r="A55" s="47" t="s">
        <v>683</v>
      </c>
      <c r="B55" s="51" t="s">
        <v>684</v>
      </c>
      <c r="C55" s="51" t="s">
        <v>685</v>
      </c>
      <c r="D55" s="49" t="s">
        <v>686</v>
      </c>
      <c r="E55" s="49" t="s">
        <v>687</v>
      </c>
      <c r="F55" s="49" t="s">
        <v>688</v>
      </c>
      <c r="G55" s="49" t="s">
        <v>689</v>
      </c>
      <c r="H55" s="49" t="s">
        <v>690</v>
      </c>
      <c r="I55" s="49" t="s">
        <v>691</v>
      </c>
      <c r="J55" s="49" t="s">
        <v>692</v>
      </c>
      <c r="K55" s="50" t="s">
        <v>685</v>
      </c>
    </row>
    <row r="56" customFormat="false" ht="46.5" hidden="false" customHeight="true" outlineLevel="0" collapsed="false">
      <c r="A56" s="47" t="s">
        <v>693</v>
      </c>
      <c r="B56" s="51" t="s">
        <v>684</v>
      </c>
      <c r="C56" s="51" t="s">
        <v>694</v>
      </c>
      <c r="D56" s="49" t="s">
        <v>695</v>
      </c>
      <c r="E56" s="49" t="s">
        <v>696</v>
      </c>
      <c r="F56" s="49" t="s">
        <v>697</v>
      </c>
      <c r="G56" s="49" t="s">
        <v>698</v>
      </c>
      <c r="H56" s="49" t="s">
        <v>694</v>
      </c>
      <c r="I56" s="49" t="s">
        <v>699</v>
      </c>
      <c r="J56" s="49" t="s">
        <v>700</v>
      </c>
      <c r="K56" s="50" t="s">
        <v>694</v>
      </c>
    </row>
    <row r="57" customFormat="false" ht="61.5" hidden="false" customHeight="true" outlineLevel="0" collapsed="false">
      <c r="A57" s="47" t="s">
        <v>701</v>
      </c>
      <c r="B57" s="51" t="s">
        <v>702</v>
      </c>
      <c r="C57" s="51" t="s">
        <v>703</v>
      </c>
      <c r="D57" s="49" t="s">
        <v>704</v>
      </c>
      <c r="E57" s="49" t="s">
        <v>705</v>
      </c>
      <c r="F57" s="49" t="s">
        <v>706</v>
      </c>
      <c r="G57" s="49" t="s">
        <v>707</v>
      </c>
      <c r="H57" s="49" t="s">
        <v>708</v>
      </c>
      <c r="I57" s="49" t="s">
        <v>709</v>
      </c>
      <c r="J57" s="49" t="s">
        <v>710</v>
      </c>
      <c r="K57" s="50" t="s">
        <v>703</v>
      </c>
    </row>
    <row r="58" customFormat="false" ht="77.25" hidden="false" customHeight="true" outlineLevel="0" collapsed="false">
      <c r="A58" s="47" t="s">
        <v>711</v>
      </c>
      <c r="B58" s="51" t="s">
        <v>712</v>
      </c>
      <c r="C58" s="51" t="s">
        <v>713</v>
      </c>
      <c r="D58" s="49" t="s">
        <v>714</v>
      </c>
      <c r="E58" s="49" t="s">
        <v>715</v>
      </c>
      <c r="F58" s="49" t="s">
        <v>716</v>
      </c>
      <c r="G58" s="49" t="s">
        <v>717</v>
      </c>
      <c r="H58" s="49" t="s">
        <v>718</v>
      </c>
      <c r="I58" s="49" t="s">
        <v>719</v>
      </c>
      <c r="J58" s="49" t="s">
        <v>720</v>
      </c>
      <c r="K58" s="50" t="s">
        <v>713</v>
      </c>
    </row>
    <row r="59" customFormat="false" ht="46.5" hidden="false" customHeight="true" outlineLevel="0" collapsed="false">
      <c r="A59" s="47" t="s">
        <v>721</v>
      </c>
      <c r="B59" s="51" t="s">
        <v>722</v>
      </c>
      <c r="C59" s="51" t="s">
        <v>723</v>
      </c>
      <c r="D59" s="49" t="s">
        <v>724</v>
      </c>
      <c r="E59" s="49" t="s">
        <v>725</v>
      </c>
      <c r="F59" s="49" t="s">
        <v>726</v>
      </c>
      <c r="G59" s="49" t="s">
        <v>727</v>
      </c>
      <c r="H59" s="49" t="s">
        <v>723</v>
      </c>
      <c r="I59" s="49" t="s">
        <v>728</v>
      </c>
      <c r="J59" s="49" t="s">
        <v>729</v>
      </c>
      <c r="K59" s="50" t="s">
        <v>723</v>
      </c>
    </row>
    <row r="60" customFormat="false" ht="93" hidden="false" customHeight="true" outlineLevel="0" collapsed="false">
      <c r="A60" s="47" t="s">
        <v>730</v>
      </c>
      <c r="B60" s="52" t="s">
        <v>731</v>
      </c>
      <c r="C60" s="52" t="s">
        <v>732</v>
      </c>
      <c r="D60" s="49" t="s">
        <v>733</v>
      </c>
      <c r="E60" s="49" t="s">
        <v>734</v>
      </c>
      <c r="F60" s="49" t="s">
        <v>735</v>
      </c>
      <c r="G60" s="49" t="s">
        <v>736</v>
      </c>
      <c r="H60" s="49" t="s">
        <v>737</v>
      </c>
      <c r="I60" s="49" t="s">
        <v>738</v>
      </c>
      <c r="J60" s="49" t="s">
        <v>739</v>
      </c>
      <c r="K60" s="50" t="s">
        <v>732</v>
      </c>
    </row>
    <row r="61" customFormat="false" ht="77.25" hidden="false" customHeight="true" outlineLevel="0" collapsed="false">
      <c r="A61" s="47" t="s">
        <v>740</v>
      </c>
      <c r="B61" s="52" t="s">
        <v>731</v>
      </c>
      <c r="C61" s="52" t="s">
        <v>741</v>
      </c>
      <c r="D61" s="49" t="s">
        <v>742</v>
      </c>
      <c r="E61" s="49" t="s">
        <v>743</v>
      </c>
      <c r="F61" s="49" t="s">
        <v>744</v>
      </c>
      <c r="G61" s="49" t="s">
        <v>745</v>
      </c>
      <c r="H61" s="49" t="s">
        <v>746</v>
      </c>
      <c r="I61" s="49" t="s">
        <v>747</v>
      </c>
      <c r="J61" s="49" t="s">
        <v>748</v>
      </c>
      <c r="K61" s="50" t="s">
        <v>741</v>
      </c>
    </row>
    <row r="62" customFormat="false" ht="139.5" hidden="false" customHeight="true" outlineLevel="0" collapsed="false">
      <c r="A62" s="47" t="s">
        <v>749</v>
      </c>
      <c r="B62" s="52" t="s">
        <v>750</v>
      </c>
      <c r="C62" s="52" t="s">
        <v>751</v>
      </c>
      <c r="D62" s="49" t="s">
        <v>752</v>
      </c>
      <c r="E62" s="49" t="s">
        <v>753</v>
      </c>
      <c r="F62" s="49" t="s">
        <v>754</v>
      </c>
      <c r="G62" s="49" t="s">
        <v>755</v>
      </c>
      <c r="H62" s="49" t="s">
        <v>756</v>
      </c>
      <c r="I62" s="49" t="s">
        <v>757</v>
      </c>
      <c r="J62" s="49" t="s">
        <v>758</v>
      </c>
      <c r="K62" s="50" t="s">
        <v>751</v>
      </c>
    </row>
    <row r="63" customFormat="false" ht="61.5" hidden="false" customHeight="true" outlineLevel="0" collapsed="false">
      <c r="A63" s="47" t="s">
        <v>759</v>
      </c>
      <c r="B63" s="52" t="s">
        <v>750</v>
      </c>
      <c r="C63" s="52" t="s">
        <v>760</v>
      </c>
      <c r="D63" s="49" t="s">
        <v>761</v>
      </c>
      <c r="E63" s="49" t="s">
        <v>762</v>
      </c>
      <c r="F63" s="49" t="s">
        <v>763</v>
      </c>
      <c r="G63" s="49" t="s">
        <v>764</v>
      </c>
      <c r="H63" s="49" t="s">
        <v>765</v>
      </c>
      <c r="I63" s="49" t="s">
        <v>766</v>
      </c>
      <c r="J63" s="49" t="s">
        <v>767</v>
      </c>
      <c r="K63" s="50" t="s">
        <v>760</v>
      </c>
    </row>
    <row r="64" customFormat="false" ht="77.25" hidden="false" customHeight="true" outlineLevel="0" collapsed="false">
      <c r="A64" s="47" t="s">
        <v>768</v>
      </c>
      <c r="B64" s="52" t="s">
        <v>769</v>
      </c>
      <c r="C64" s="52" t="s">
        <v>770</v>
      </c>
      <c r="D64" s="49" t="s">
        <v>771</v>
      </c>
      <c r="E64" s="49" t="s">
        <v>772</v>
      </c>
      <c r="F64" s="49" t="s">
        <v>773</v>
      </c>
      <c r="G64" s="49" t="s">
        <v>774</v>
      </c>
      <c r="H64" s="49" t="s">
        <v>775</v>
      </c>
      <c r="I64" s="49" t="s">
        <v>776</v>
      </c>
      <c r="J64" s="49" t="s">
        <v>777</v>
      </c>
      <c r="K64" s="50" t="s">
        <v>770</v>
      </c>
    </row>
    <row r="65" customFormat="false" ht="61.5" hidden="false" customHeight="true" outlineLevel="0" collapsed="false">
      <c r="A65" s="47" t="s">
        <v>778</v>
      </c>
      <c r="B65" s="52" t="s">
        <v>769</v>
      </c>
      <c r="C65" s="52" t="s">
        <v>779</v>
      </c>
      <c r="D65" s="49" t="s">
        <v>780</v>
      </c>
      <c r="E65" s="49" t="s">
        <v>781</v>
      </c>
      <c r="F65" s="49" t="s">
        <v>782</v>
      </c>
      <c r="G65" s="49" t="s">
        <v>783</v>
      </c>
      <c r="H65" s="49" t="s">
        <v>784</v>
      </c>
      <c r="I65" s="49" t="s">
        <v>785</v>
      </c>
      <c r="J65" s="49" t="s">
        <v>786</v>
      </c>
      <c r="K65" s="50" t="s">
        <v>779</v>
      </c>
    </row>
    <row r="66" customFormat="false" ht="46.5" hidden="false" customHeight="true" outlineLevel="0" collapsed="false">
      <c r="A66" s="47" t="s">
        <v>787</v>
      </c>
      <c r="B66" s="52" t="s">
        <v>769</v>
      </c>
      <c r="C66" s="52" t="s">
        <v>788</v>
      </c>
      <c r="D66" s="49" t="s">
        <v>789</v>
      </c>
      <c r="E66" s="49" t="s">
        <v>790</v>
      </c>
      <c r="F66" s="49" t="s">
        <v>791</v>
      </c>
      <c r="G66" s="49" t="s">
        <v>792</v>
      </c>
      <c r="H66" s="49" t="s">
        <v>793</v>
      </c>
      <c r="I66" s="49" t="s">
        <v>794</v>
      </c>
      <c r="J66" s="49" t="s">
        <v>795</v>
      </c>
      <c r="K66" s="50" t="s">
        <v>788</v>
      </c>
    </row>
    <row r="67" customFormat="false" ht="61.5" hidden="false" customHeight="true" outlineLevel="0" collapsed="false">
      <c r="A67" s="47" t="s">
        <v>796</v>
      </c>
      <c r="B67" s="52" t="s">
        <v>769</v>
      </c>
      <c r="C67" s="52" t="s">
        <v>797</v>
      </c>
      <c r="D67" s="49" t="s">
        <v>798</v>
      </c>
      <c r="E67" s="49" t="s">
        <v>799</v>
      </c>
      <c r="F67" s="49" t="s">
        <v>800</v>
      </c>
      <c r="G67" s="49" t="s">
        <v>801</v>
      </c>
      <c r="H67" s="49" t="s">
        <v>802</v>
      </c>
      <c r="I67" s="49" t="s">
        <v>803</v>
      </c>
      <c r="J67" s="49" t="s">
        <v>804</v>
      </c>
      <c r="K67" s="50" t="s">
        <v>797</v>
      </c>
    </row>
    <row r="68" customFormat="false" ht="77.25" hidden="false" customHeight="true" outlineLevel="0" collapsed="false">
      <c r="A68" s="47" t="s">
        <v>805</v>
      </c>
      <c r="B68" s="52" t="s">
        <v>769</v>
      </c>
      <c r="C68" s="52" t="s">
        <v>806</v>
      </c>
      <c r="D68" s="49" t="s">
        <v>807</v>
      </c>
      <c r="E68" s="49" t="s">
        <v>808</v>
      </c>
      <c r="F68" s="49" t="s">
        <v>809</v>
      </c>
      <c r="G68" s="49" t="s">
        <v>810</v>
      </c>
      <c r="H68" s="49" t="s">
        <v>811</v>
      </c>
      <c r="I68" s="49" t="s">
        <v>812</v>
      </c>
      <c r="J68" s="49" t="s">
        <v>813</v>
      </c>
      <c r="K68" s="50" t="s">
        <v>806</v>
      </c>
    </row>
    <row r="69" customFormat="false" ht="61.5" hidden="false" customHeight="true" outlineLevel="0" collapsed="false">
      <c r="A69" s="47" t="s">
        <v>814</v>
      </c>
      <c r="B69" s="52" t="s">
        <v>815</v>
      </c>
      <c r="C69" s="52" t="s">
        <v>816</v>
      </c>
      <c r="D69" s="49" t="s">
        <v>817</v>
      </c>
      <c r="E69" s="49" t="s">
        <v>818</v>
      </c>
      <c r="F69" s="49" t="s">
        <v>819</v>
      </c>
      <c r="G69" s="49" t="s">
        <v>820</v>
      </c>
      <c r="H69" s="49" t="s">
        <v>821</v>
      </c>
      <c r="I69" s="49" t="s">
        <v>822</v>
      </c>
      <c r="J69" s="49" t="s">
        <v>823</v>
      </c>
      <c r="K69" s="50" t="s">
        <v>816</v>
      </c>
    </row>
    <row r="70" customFormat="false" ht="61.5" hidden="false" customHeight="true" outlineLevel="0" collapsed="false">
      <c r="A70" s="47" t="s">
        <v>824</v>
      </c>
      <c r="B70" s="52" t="s">
        <v>815</v>
      </c>
      <c r="C70" s="52" t="s">
        <v>825</v>
      </c>
      <c r="D70" s="49" t="s">
        <v>826</v>
      </c>
      <c r="E70" s="49" t="s">
        <v>827</v>
      </c>
      <c r="F70" s="49" t="s">
        <v>828</v>
      </c>
      <c r="G70" s="49" t="s">
        <v>829</v>
      </c>
      <c r="H70" s="49" t="s">
        <v>830</v>
      </c>
      <c r="I70" s="49" t="s">
        <v>831</v>
      </c>
      <c r="J70" s="49" t="s">
        <v>832</v>
      </c>
      <c r="K70" s="50" t="s">
        <v>825</v>
      </c>
    </row>
    <row r="71" customFormat="false" ht="46.5" hidden="false" customHeight="true" outlineLevel="0" collapsed="false">
      <c r="A71" s="47" t="s">
        <v>833</v>
      </c>
      <c r="B71" s="52" t="s">
        <v>815</v>
      </c>
      <c r="C71" s="52" t="s">
        <v>834</v>
      </c>
      <c r="D71" s="49" t="s">
        <v>835</v>
      </c>
      <c r="E71" s="49" t="s">
        <v>836</v>
      </c>
      <c r="F71" s="49" t="s">
        <v>837</v>
      </c>
      <c r="G71" s="49" t="s">
        <v>838</v>
      </c>
      <c r="H71" s="49" t="s">
        <v>839</v>
      </c>
      <c r="I71" s="49" t="s">
        <v>840</v>
      </c>
      <c r="J71" s="49" t="s">
        <v>841</v>
      </c>
      <c r="K71" s="50" t="s">
        <v>834</v>
      </c>
    </row>
    <row r="72" customFormat="false" ht="77.25" hidden="false" customHeight="true" outlineLevel="0" collapsed="false">
      <c r="A72" s="47" t="s">
        <v>842</v>
      </c>
      <c r="B72" s="52" t="s">
        <v>843</v>
      </c>
      <c r="C72" s="52" t="s">
        <v>844</v>
      </c>
      <c r="D72" s="49" t="s">
        <v>845</v>
      </c>
      <c r="E72" s="49" t="s">
        <v>846</v>
      </c>
      <c r="F72" s="49" t="s">
        <v>847</v>
      </c>
      <c r="G72" s="49" t="s">
        <v>848</v>
      </c>
      <c r="H72" s="49" t="s">
        <v>849</v>
      </c>
      <c r="I72" s="49" t="s">
        <v>850</v>
      </c>
      <c r="J72" s="49" t="s">
        <v>851</v>
      </c>
      <c r="K72" s="50" t="s">
        <v>844</v>
      </c>
    </row>
    <row r="73" customFormat="false" ht="77.25" hidden="false" customHeight="true" outlineLevel="0" collapsed="false">
      <c r="A73" s="47" t="s">
        <v>852</v>
      </c>
      <c r="B73" s="52" t="s">
        <v>843</v>
      </c>
      <c r="C73" s="52" t="s">
        <v>853</v>
      </c>
      <c r="D73" s="49" t="s">
        <v>854</v>
      </c>
      <c r="E73" s="49" t="s">
        <v>855</v>
      </c>
      <c r="F73" s="49" t="s">
        <v>856</v>
      </c>
      <c r="G73" s="49" t="s">
        <v>857</v>
      </c>
      <c r="H73" s="49" t="s">
        <v>858</v>
      </c>
      <c r="I73" s="49" t="s">
        <v>859</v>
      </c>
      <c r="J73" s="49" t="s">
        <v>860</v>
      </c>
      <c r="K73" s="50" t="s">
        <v>853</v>
      </c>
    </row>
    <row r="74" customFormat="false" ht="139.5" hidden="false" customHeight="true" outlineLevel="0" collapsed="false">
      <c r="A74" s="47" t="s">
        <v>861</v>
      </c>
      <c r="B74" s="52" t="s">
        <v>862</v>
      </c>
      <c r="C74" s="52" t="s">
        <v>863</v>
      </c>
      <c r="D74" s="49" t="s">
        <v>864</v>
      </c>
      <c r="E74" s="49" t="s">
        <v>865</v>
      </c>
      <c r="F74" s="49" t="s">
        <v>866</v>
      </c>
      <c r="G74" s="49" t="s">
        <v>867</v>
      </c>
      <c r="H74" s="49" t="s">
        <v>868</v>
      </c>
      <c r="I74" s="49" t="s">
        <v>869</v>
      </c>
      <c r="J74" s="49" t="s">
        <v>870</v>
      </c>
      <c r="K74" s="50" t="s">
        <v>863</v>
      </c>
    </row>
    <row r="75" customFormat="false" ht="93" hidden="false" customHeight="true" outlineLevel="0" collapsed="false">
      <c r="A75" s="47" t="s">
        <v>871</v>
      </c>
      <c r="B75" s="52" t="s">
        <v>862</v>
      </c>
      <c r="C75" s="52" t="s">
        <v>872</v>
      </c>
      <c r="D75" s="49" t="s">
        <v>873</v>
      </c>
      <c r="E75" s="49" t="s">
        <v>874</v>
      </c>
      <c r="F75" s="49" t="s">
        <v>875</v>
      </c>
      <c r="G75" s="49" t="s">
        <v>876</v>
      </c>
      <c r="H75" s="49" t="s">
        <v>877</v>
      </c>
      <c r="I75" s="49" t="s">
        <v>878</v>
      </c>
      <c r="J75" s="49" t="s">
        <v>879</v>
      </c>
      <c r="K75" s="50" t="s">
        <v>872</v>
      </c>
    </row>
    <row r="76" customFormat="false" ht="170.25" hidden="false" customHeight="true" outlineLevel="0" collapsed="false">
      <c r="A76" s="47" t="s">
        <v>880</v>
      </c>
      <c r="B76" s="53" t="s">
        <v>881</v>
      </c>
      <c r="C76" s="53" t="s">
        <v>882</v>
      </c>
      <c r="D76" s="49" t="s">
        <v>883</v>
      </c>
      <c r="E76" s="49" t="s">
        <v>884</v>
      </c>
      <c r="F76" s="49" t="s">
        <v>885</v>
      </c>
      <c r="G76" s="49" t="s">
        <v>886</v>
      </c>
      <c r="H76" s="49" t="s">
        <v>887</v>
      </c>
      <c r="I76" s="49" t="s">
        <v>888</v>
      </c>
      <c r="J76" s="49" t="s">
        <v>889</v>
      </c>
      <c r="K76" s="50" t="s">
        <v>882</v>
      </c>
    </row>
    <row r="77" customFormat="false" ht="77.25" hidden="false" customHeight="true" outlineLevel="0" collapsed="false">
      <c r="A77" s="47" t="s">
        <v>890</v>
      </c>
      <c r="B77" s="53" t="s">
        <v>891</v>
      </c>
      <c r="C77" s="53" t="s">
        <v>892</v>
      </c>
      <c r="D77" s="49" t="s">
        <v>893</v>
      </c>
      <c r="E77" s="49" t="s">
        <v>894</v>
      </c>
      <c r="F77" s="49" t="s">
        <v>895</v>
      </c>
      <c r="G77" s="49" t="s">
        <v>896</v>
      </c>
      <c r="H77" s="49" t="s">
        <v>897</v>
      </c>
      <c r="I77" s="49" t="s">
        <v>898</v>
      </c>
      <c r="J77" s="49" t="s">
        <v>899</v>
      </c>
      <c r="K77" s="50" t="s">
        <v>892</v>
      </c>
    </row>
    <row r="78" customFormat="false" ht="77.25" hidden="false" customHeight="true" outlineLevel="0" collapsed="false">
      <c r="A78" s="47" t="s">
        <v>900</v>
      </c>
      <c r="B78" s="53" t="s">
        <v>891</v>
      </c>
      <c r="C78" s="53" t="s">
        <v>901</v>
      </c>
      <c r="D78" s="49" t="s">
        <v>902</v>
      </c>
      <c r="E78" s="49" t="s">
        <v>903</v>
      </c>
      <c r="F78" s="49" t="s">
        <v>904</v>
      </c>
      <c r="G78" s="49" t="s">
        <v>905</v>
      </c>
      <c r="H78" s="49" t="s">
        <v>906</v>
      </c>
      <c r="I78" s="49" t="s">
        <v>907</v>
      </c>
      <c r="J78" s="49" t="s">
        <v>908</v>
      </c>
      <c r="K78" s="50" t="s">
        <v>901</v>
      </c>
    </row>
    <row r="79" customFormat="false" ht="93" hidden="false" customHeight="true" outlineLevel="0" collapsed="false">
      <c r="A79" s="47" t="s">
        <v>909</v>
      </c>
      <c r="B79" s="53" t="s">
        <v>891</v>
      </c>
      <c r="C79" s="53" t="s">
        <v>910</v>
      </c>
      <c r="D79" s="49" t="s">
        <v>911</v>
      </c>
      <c r="E79" s="49" t="s">
        <v>912</v>
      </c>
      <c r="F79" s="49" t="s">
        <v>913</v>
      </c>
      <c r="G79" s="49" t="s">
        <v>914</v>
      </c>
      <c r="H79" s="49" t="s">
        <v>915</v>
      </c>
      <c r="I79" s="49" t="s">
        <v>916</v>
      </c>
      <c r="J79" s="49" t="s">
        <v>917</v>
      </c>
      <c r="K79" s="50" t="s">
        <v>910</v>
      </c>
    </row>
    <row r="80" customFormat="false" ht="77.25" hidden="false" customHeight="true" outlineLevel="0" collapsed="false">
      <c r="A80" s="47" t="s">
        <v>918</v>
      </c>
      <c r="B80" s="53" t="s">
        <v>891</v>
      </c>
      <c r="C80" s="53" t="s">
        <v>919</v>
      </c>
      <c r="D80" s="49" t="s">
        <v>920</v>
      </c>
      <c r="E80" s="49" t="s">
        <v>921</v>
      </c>
      <c r="F80" s="49" t="s">
        <v>922</v>
      </c>
      <c r="G80" s="49" t="s">
        <v>923</v>
      </c>
      <c r="H80" s="49" t="s">
        <v>924</v>
      </c>
      <c r="I80" s="49" t="s">
        <v>925</v>
      </c>
      <c r="J80" s="49" t="s">
        <v>926</v>
      </c>
      <c r="K80" s="50" t="s">
        <v>919</v>
      </c>
    </row>
    <row r="81" customFormat="false" ht="77.25" hidden="false" customHeight="true" outlineLevel="0" collapsed="false">
      <c r="A81" s="47" t="s">
        <v>927</v>
      </c>
      <c r="B81" s="53" t="s">
        <v>891</v>
      </c>
      <c r="C81" s="53" t="s">
        <v>928</v>
      </c>
      <c r="D81" s="49" t="s">
        <v>929</v>
      </c>
      <c r="E81" s="49" t="s">
        <v>930</v>
      </c>
      <c r="F81" s="49" t="s">
        <v>931</v>
      </c>
      <c r="G81" s="49" t="s">
        <v>932</v>
      </c>
      <c r="H81" s="49" t="s">
        <v>933</v>
      </c>
      <c r="I81" s="49" t="s">
        <v>934</v>
      </c>
      <c r="J81" s="49" t="s">
        <v>935</v>
      </c>
      <c r="K81" s="50" t="s">
        <v>928</v>
      </c>
    </row>
    <row r="82" customFormat="false" ht="77.25" hidden="false" customHeight="true" outlineLevel="0" collapsed="false">
      <c r="A82" s="47" t="s">
        <v>936</v>
      </c>
      <c r="B82" s="53" t="s">
        <v>937</v>
      </c>
      <c r="C82" s="53" t="s">
        <v>938</v>
      </c>
      <c r="D82" s="49" t="s">
        <v>939</v>
      </c>
      <c r="E82" s="49" t="s">
        <v>940</v>
      </c>
      <c r="F82" s="49" t="s">
        <v>941</v>
      </c>
      <c r="G82" s="49" t="s">
        <v>942</v>
      </c>
      <c r="H82" s="49" t="s">
        <v>943</v>
      </c>
      <c r="I82" s="49" t="s">
        <v>944</v>
      </c>
      <c r="J82" s="49" t="s">
        <v>945</v>
      </c>
      <c r="K82" s="50" t="s">
        <v>938</v>
      </c>
    </row>
    <row r="83" customFormat="false" ht="154.5" hidden="false" customHeight="true" outlineLevel="0" collapsed="false">
      <c r="A83" s="47" t="s">
        <v>946</v>
      </c>
      <c r="B83" s="53" t="s">
        <v>937</v>
      </c>
      <c r="C83" s="53" t="s">
        <v>947</v>
      </c>
      <c r="D83" s="49" t="s">
        <v>948</v>
      </c>
      <c r="E83" s="49" t="s">
        <v>949</v>
      </c>
      <c r="F83" s="49" t="s">
        <v>950</v>
      </c>
      <c r="G83" s="49" t="s">
        <v>951</v>
      </c>
      <c r="H83" s="49" t="s">
        <v>952</v>
      </c>
      <c r="I83" s="49" t="s">
        <v>953</v>
      </c>
      <c r="J83" s="49" t="s">
        <v>954</v>
      </c>
      <c r="K83" s="50" t="s">
        <v>947</v>
      </c>
    </row>
    <row r="84" customFormat="false" ht="61.5" hidden="false" customHeight="true" outlineLevel="0" collapsed="false">
      <c r="A84" s="47" t="s">
        <v>955</v>
      </c>
      <c r="B84" s="53" t="s">
        <v>937</v>
      </c>
      <c r="C84" s="53" t="s">
        <v>956</v>
      </c>
      <c r="D84" s="49" t="s">
        <v>957</v>
      </c>
      <c r="E84" s="49" t="s">
        <v>958</v>
      </c>
      <c r="F84" s="49" t="s">
        <v>959</v>
      </c>
      <c r="G84" s="49" t="s">
        <v>960</v>
      </c>
      <c r="H84" s="49" t="s">
        <v>961</v>
      </c>
      <c r="I84" s="49" t="s">
        <v>962</v>
      </c>
      <c r="J84" s="49" t="s">
        <v>963</v>
      </c>
      <c r="K84" s="50" t="s">
        <v>956</v>
      </c>
    </row>
    <row r="85" customFormat="false" ht="61.5" hidden="false" customHeight="true" outlineLevel="0" collapsed="false">
      <c r="A85" s="47" t="s">
        <v>964</v>
      </c>
      <c r="B85" s="53" t="s">
        <v>965</v>
      </c>
      <c r="C85" s="53" t="s">
        <v>966</v>
      </c>
      <c r="D85" s="49" t="s">
        <v>967</v>
      </c>
      <c r="E85" s="49" t="s">
        <v>968</v>
      </c>
      <c r="F85" s="49" t="s">
        <v>969</v>
      </c>
      <c r="G85" s="49" t="s">
        <v>970</v>
      </c>
      <c r="H85" s="49" t="s">
        <v>971</v>
      </c>
      <c r="I85" s="49" t="s">
        <v>972</v>
      </c>
      <c r="J85" s="49" t="s">
        <v>973</v>
      </c>
      <c r="K85" s="50" t="s">
        <v>966</v>
      </c>
    </row>
    <row r="86" customFormat="false" ht="61.5" hidden="false" customHeight="true" outlineLevel="0" collapsed="false">
      <c r="A86" s="47" t="s">
        <v>974</v>
      </c>
      <c r="B86" s="53" t="s">
        <v>965</v>
      </c>
      <c r="C86" s="53" t="s">
        <v>975</v>
      </c>
      <c r="D86" s="49" t="s">
        <v>976</v>
      </c>
      <c r="E86" s="49" t="s">
        <v>977</v>
      </c>
      <c r="F86" s="49" t="s">
        <v>978</v>
      </c>
      <c r="G86" s="49" t="s">
        <v>979</v>
      </c>
      <c r="H86" s="49" t="s">
        <v>980</v>
      </c>
      <c r="I86" s="49" t="s">
        <v>981</v>
      </c>
      <c r="J86" s="49" t="s">
        <v>982</v>
      </c>
      <c r="K86" s="50" t="s">
        <v>975</v>
      </c>
    </row>
  </sheetData>
  <mergeCells count="2">
    <mergeCell ref="A1:K1"/>
    <mergeCell ref="A2:K2"/>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S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5"/>
    <col collapsed="false" customWidth="true" hidden="false" outlineLevel="0" max="3" min="3" style="1" width="20"/>
    <col collapsed="false" customWidth="true" hidden="false" outlineLevel="0" max="4" min="4" style="1" width="13"/>
    <col collapsed="false" customWidth="true" hidden="false" outlineLevel="0" max="11" min="11" style="1" width="15"/>
    <col collapsed="false" customWidth="true" hidden="false" outlineLevel="0" max="12" min="12" style="1" width="24"/>
    <col collapsed="false" customWidth="true" hidden="false" outlineLevel="0" max="13" min="13" style="1" width="20"/>
    <col collapsed="false" customWidth="true" hidden="false" outlineLevel="0" max="14" min="14" style="1" width="24"/>
    <col collapsed="false" customWidth="true" hidden="false" outlineLevel="0" max="15" min="15" style="1" width="20"/>
    <col collapsed="false" customWidth="true" hidden="false" outlineLevel="0" max="17" min="17" style="1" width="38"/>
    <col collapsed="false" customWidth="true" hidden="false" outlineLevel="0" max="19" min="18" style="1" width="42"/>
  </cols>
  <sheetData>
    <row r="1" customFormat="false" ht="25.5" hidden="false" customHeight="true" outlineLevel="0" collapsed="false">
      <c r="A1" s="38" t="s">
        <v>983</v>
      </c>
      <c r="B1" s="38"/>
      <c r="C1" s="38"/>
      <c r="D1" s="38"/>
      <c r="E1" s="38"/>
      <c r="F1" s="38"/>
      <c r="G1" s="38"/>
      <c r="H1" s="38"/>
      <c r="I1" s="38"/>
      <c r="J1" s="38"/>
      <c r="K1" s="38"/>
      <c r="L1" s="38"/>
      <c r="M1" s="38"/>
      <c r="N1" s="38"/>
      <c r="O1" s="38"/>
      <c r="P1" s="38"/>
    </row>
    <row r="2" customFormat="false" ht="21.75" hidden="false" customHeight="true" outlineLevel="0" collapsed="false">
      <c r="A2" s="39" t="s">
        <v>984</v>
      </c>
      <c r="B2" s="39"/>
      <c r="C2" s="39"/>
      <c r="D2" s="39"/>
      <c r="E2" s="39"/>
      <c r="F2" s="39"/>
      <c r="G2" s="39"/>
      <c r="H2" s="39"/>
      <c r="I2" s="39"/>
      <c r="J2" s="39"/>
      <c r="K2" s="39"/>
      <c r="L2" s="39"/>
      <c r="M2" s="39"/>
      <c r="N2" s="39"/>
      <c r="O2" s="39"/>
      <c r="P2" s="39"/>
    </row>
    <row r="3" customFormat="false" ht="15" hidden="false" customHeight="true" outlineLevel="0" collapsed="false">
      <c r="A3" s="40" t="s">
        <v>56</v>
      </c>
    </row>
    <row r="4" customFormat="false" ht="15" hidden="false" customHeight="true" outlineLevel="0" collapsed="false">
      <c r="A4" s="41" t="s">
        <v>205</v>
      </c>
      <c r="B4" s="41" t="s">
        <v>206</v>
      </c>
      <c r="C4" s="41" t="s">
        <v>207</v>
      </c>
      <c r="D4" s="42" t="s">
        <v>208</v>
      </c>
      <c r="E4" s="43" t="s">
        <v>209</v>
      </c>
      <c r="F4" s="43" t="s">
        <v>210</v>
      </c>
      <c r="G4" s="43" t="s">
        <v>211</v>
      </c>
      <c r="H4" s="44" t="s">
        <v>212</v>
      </c>
      <c r="I4" s="45" t="s">
        <v>213</v>
      </c>
      <c r="J4" s="45" t="s">
        <v>214</v>
      </c>
      <c r="K4" s="46" t="s">
        <v>215</v>
      </c>
      <c r="L4" s="54" t="s">
        <v>985</v>
      </c>
      <c r="M4" s="54" t="s">
        <v>986</v>
      </c>
      <c r="N4" s="54" t="s">
        <v>92</v>
      </c>
      <c r="O4" s="54" t="s">
        <v>987</v>
      </c>
      <c r="Q4" s="55" t="s">
        <v>988</v>
      </c>
      <c r="R4" s="55" t="s">
        <v>989</v>
      </c>
      <c r="S4" s="55" t="s">
        <v>990</v>
      </c>
    </row>
    <row r="5" customFormat="false" ht="108" hidden="false" customHeight="true" outlineLevel="0" collapsed="false">
      <c r="A5" s="47" t="s">
        <v>216</v>
      </c>
      <c r="B5" s="48" t="s">
        <v>217</v>
      </c>
      <c r="C5" s="48" t="s">
        <v>218</v>
      </c>
      <c r="D5" s="49" t="s">
        <v>219</v>
      </c>
      <c r="E5" s="49" t="s">
        <v>220</v>
      </c>
      <c r="F5" s="49" t="s">
        <v>221</v>
      </c>
      <c r="G5" s="49" t="s">
        <v>222</v>
      </c>
      <c r="H5" s="49" t="s">
        <v>223</v>
      </c>
      <c r="I5" s="49" t="s">
        <v>224</v>
      </c>
      <c r="J5" s="49" t="s">
        <v>225</v>
      </c>
      <c r="K5" s="50" t="s">
        <v>218</v>
      </c>
      <c r="L5" s="49" t="s">
        <v>991</v>
      </c>
      <c r="M5" s="49" t="s">
        <v>992</v>
      </c>
      <c r="N5" s="49" t="s">
        <v>993</v>
      </c>
      <c r="O5" s="49" t="s">
        <v>994</v>
      </c>
      <c r="Q5" s="56" t="s">
        <v>995</v>
      </c>
      <c r="R5" s="57" t="s">
        <v>996</v>
      </c>
      <c r="S5" s="58" t="s">
        <v>997</v>
      </c>
    </row>
    <row r="6" customFormat="false" ht="93" hidden="false" customHeight="true" outlineLevel="0" collapsed="false">
      <c r="A6" s="47" t="s">
        <v>226</v>
      </c>
      <c r="B6" s="48" t="s">
        <v>217</v>
      </c>
      <c r="C6" s="48" t="s">
        <v>227</v>
      </c>
      <c r="D6" s="49" t="s">
        <v>228</v>
      </c>
      <c r="E6" s="49" t="s">
        <v>229</v>
      </c>
      <c r="F6" s="49" t="s">
        <v>230</v>
      </c>
      <c r="G6" s="49" t="s">
        <v>231</v>
      </c>
      <c r="H6" s="49" t="s">
        <v>232</v>
      </c>
      <c r="I6" s="49" t="s">
        <v>233</v>
      </c>
      <c r="J6" s="49" t="s">
        <v>234</v>
      </c>
      <c r="K6" s="50" t="s">
        <v>227</v>
      </c>
      <c r="L6" s="49" t="s">
        <v>998</v>
      </c>
      <c r="M6" s="49" t="s">
        <v>999</v>
      </c>
      <c r="N6" s="49" t="s">
        <v>1000</v>
      </c>
      <c r="O6" s="49" t="s">
        <v>1001</v>
      </c>
      <c r="Q6" s="56" t="s">
        <v>995</v>
      </c>
      <c r="R6" s="57" t="s">
        <v>1002</v>
      </c>
      <c r="S6" s="58" t="s">
        <v>1003</v>
      </c>
    </row>
    <row r="7" customFormat="false" ht="93" hidden="false" customHeight="true" outlineLevel="0" collapsed="false">
      <c r="A7" s="47" t="s">
        <v>235</v>
      </c>
      <c r="B7" s="48" t="s">
        <v>236</v>
      </c>
      <c r="C7" s="48" t="s">
        <v>237</v>
      </c>
      <c r="D7" s="49" t="s">
        <v>238</v>
      </c>
      <c r="E7" s="49" t="s">
        <v>239</v>
      </c>
      <c r="F7" s="49" t="s">
        <v>240</v>
      </c>
      <c r="G7" s="49" t="s">
        <v>241</v>
      </c>
      <c r="H7" s="49" t="s">
        <v>242</v>
      </c>
      <c r="I7" s="49" t="s">
        <v>243</v>
      </c>
      <c r="J7" s="49" t="s">
        <v>244</v>
      </c>
      <c r="K7" s="50" t="s">
        <v>237</v>
      </c>
      <c r="L7" s="49" t="s">
        <v>1004</v>
      </c>
      <c r="M7" s="49" t="s">
        <v>1005</v>
      </c>
      <c r="N7" s="49" t="s">
        <v>1006</v>
      </c>
      <c r="O7" s="49" t="s">
        <v>1007</v>
      </c>
      <c r="Q7" s="56" t="s">
        <v>995</v>
      </c>
      <c r="R7" s="57" t="s">
        <v>1008</v>
      </c>
      <c r="S7" s="58" t="s">
        <v>1009</v>
      </c>
    </row>
    <row r="8" customFormat="false" ht="108" hidden="false" customHeight="true" outlineLevel="0" collapsed="false">
      <c r="A8" s="47" t="s">
        <v>245</v>
      </c>
      <c r="B8" s="48" t="s">
        <v>236</v>
      </c>
      <c r="C8" s="48" t="s">
        <v>246</v>
      </c>
      <c r="D8" s="49" t="s">
        <v>247</v>
      </c>
      <c r="E8" s="49" t="s">
        <v>248</v>
      </c>
      <c r="F8" s="49" t="s">
        <v>249</v>
      </c>
      <c r="G8" s="49" t="s">
        <v>250</v>
      </c>
      <c r="H8" s="49" t="s">
        <v>251</v>
      </c>
      <c r="I8" s="49" t="s">
        <v>252</v>
      </c>
      <c r="J8" s="49" t="s">
        <v>253</v>
      </c>
      <c r="K8" s="50" t="s">
        <v>246</v>
      </c>
      <c r="L8" s="49" t="s">
        <v>1010</v>
      </c>
      <c r="M8" s="49" t="s">
        <v>1011</v>
      </c>
      <c r="N8" s="49" t="s">
        <v>1012</v>
      </c>
      <c r="O8" s="49" t="s">
        <v>1013</v>
      </c>
      <c r="Q8" s="56" t="s">
        <v>995</v>
      </c>
      <c r="R8" s="57" t="s">
        <v>1014</v>
      </c>
      <c r="S8" s="58" t="s">
        <v>1015</v>
      </c>
    </row>
    <row r="9" customFormat="false" ht="247.5" hidden="false" customHeight="true" outlineLevel="0" collapsed="false">
      <c r="A9" s="47" t="s">
        <v>254</v>
      </c>
      <c r="B9" s="48" t="s">
        <v>255</v>
      </c>
      <c r="C9" s="48" t="s">
        <v>256</v>
      </c>
      <c r="D9" s="49" t="s">
        <v>257</v>
      </c>
      <c r="E9" s="49" t="s">
        <v>258</v>
      </c>
      <c r="F9" s="49" t="s">
        <v>259</v>
      </c>
      <c r="G9" s="49" t="s">
        <v>260</v>
      </c>
      <c r="H9" s="49" t="s">
        <v>261</v>
      </c>
      <c r="I9" s="49" t="s">
        <v>262</v>
      </c>
      <c r="J9" s="49" t="s">
        <v>263</v>
      </c>
      <c r="K9" s="50" t="s">
        <v>256</v>
      </c>
      <c r="L9" s="49" t="s">
        <v>1016</v>
      </c>
      <c r="M9" s="49" t="s">
        <v>1017</v>
      </c>
      <c r="N9" s="49" t="s">
        <v>1018</v>
      </c>
      <c r="O9" s="49" t="s">
        <v>1019</v>
      </c>
      <c r="Q9" s="56" t="s">
        <v>995</v>
      </c>
      <c r="R9" s="57" t="s">
        <v>1020</v>
      </c>
      <c r="S9" s="58" t="s">
        <v>1021</v>
      </c>
    </row>
    <row r="10" customFormat="false" ht="294" hidden="false" customHeight="true" outlineLevel="0" collapsed="false">
      <c r="A10" s="47" t="s">
        <v>264</v>
      </c>
      <c r="B10" s="48" t="s">
        <v>255</v>
      </c>
      <c r="C10" s="48" t="s">
        <v>265</v>
      </c>
      <c r="D10" s="49" t="s">
        <v>266</v>
      </c>
      <c r="E10" s="49" t="s">
        <v>267</v>
      </c>
      <c r="F10" s="49" t="s">
        <v>268</v>
      </c>
      <c r="G10" s="49" t="s">
        <v>269</v>
      </c>
      <c r="H10" s="49" t="s">
        <v>270</v>
      </c>
      <c r="I10" s="49" t="s">
        <v>271</v>
      </c>
      <c r="J10" s="49" t="s">
        <v>272</v>
      </c>
      <c r="K10" s="50" t="s">
        <v>265</v>
      </c>
      <c r="L10" s="49" t="s">
        <v>1022</v>
      </c>
      <c r="M10" s="49" t="s">
        <v>1023</v>
      </c>
      <c r="N10" s="49" t="s">
        <v>1024</v>
      </c>
      <c r="O10" s="49" t="s">
        <v>1025</v>
      </c>
      <c r="Q10" s="56" t="s">
        <v>995</v>
      </c>
      <c r="R10" s="57" t="s">
        <v>1026</v>
      </c>
      <c r="S10" s="58" t="s">
        <v>1027</v>
      </c>
    </row>
    <row r="11" customFormat="false" ht="170.25" hidden="false" customHeight="true" outlineLevel="0" collapsed="false">
      <c r="A11" s="47" t="s">
        <v>273</v>
      </c>
      <c r="B11" s="48" t="s">
        <v>255</v>
      </c>
      <c r="C11" s="48" t="s">
        <v>274</v>
      </c>
      <c r="D11" s="49" t="s">
        <v>275</v>
      </c>
      <c r="E11" s="49" t="s">
        <v>276</v>
      </c>
      <c r="F11" s="49" t="s">
        <v>277</v>
      </c>
      <c r="G11" s="49" t="s">
        <v>278</v>
      </c>
      <c r="H11" s="49" t="s">
        <v>279</v>
      </c>
      <c r="I11" s="49" t="s">
        <v>280</v>
      </c>
      <c r="J11" s="49" t="s">
        <v>281</v>
      </c>
      <c r="K11" s="50" t="s">
        <v>274</v>
      </c>
      <c r="L11" s="49" t="s">
        <v>1028</v>
      </c>
      <c r="M11" s="49" t="s">
        <v>1029</v>
      </c>
      <c r="N11" s="49" t="s">
        <v>1030</v>
      </c>
      <c r="O11" s="49" t="s">
        <v>1031</v>
      </c>
      <c r="Q11" s="56" t="s">
        <v>995</v>
      </c>
      <c r="R11" s="57" t="s">
        <v>1032</v>
      </c>
      <c r="S11" s="58" t="s">
        <v>1033</v>
      </c>
    </row>
    <row r="12" customFormat="false" ht="93" hidden="false" customHeight="true" outlineLevel="0" collapsed="false">
      <c r="A12" s="47" t="s">
        <v>282</v>
      </c>
      <c r="B12" s="48" t="s">
        <v>255</v>
      </c>
      <c r="C12" s="48" t="s">
        <v>283</v>
      </c>
      <c r="D12" s="49" t="s">
        <v>284</v>
      </c>
      <c r="E12" s="49" t="s">
        <v>285</v>
      </c>
      <c r="F12" s="49" t="s">
        <v>286</v>
      </c>
      <c r="G12" s="49" t="s">
        <v>287</v>
      </c>
      <c r="H12" s="49" t="s">
        <v>288</v>
      </c>
      <c r="I12" s="49" t="s">
        <v>289</v>
      </c>
      <c r="J12" s="49" t="s">
        <v>290</v>
      </c>
      <c r="K12" s="50" t="s">
        <v>283</v>
      </c>
      <c r="L12" s="49" t="s">
        <v>1034</v>
      </c>
      <c r="M12" s="49" t="s">
        <v>1035</v>
      </c>
      <c r="N12" s="49" t="s">
        <v>1036</v>
      </c>
      <c r="O12" s="49" t="s">
        <v>1037</v>
      </c>
      <c r="Q12" s="56" t="s">
        <v>995</v>
      </c>
      <c r="R12" s="57" t="s">
        <v>1038</v>
      </c>
      <c r="S12" s="58" t="s">
        <v>1039</v>
      </c>
    </row>
    <row r="13" customFormat="false" ht="325.5" hidden="false" customHeight="true" outlineLevel="0" collapsed="false">
      <c r="A13" s="47" t="s">
        <v>291</v>
      </c>
      <c r="B13" s="48" t="s">
        <v>292</v>
      </c>
      <c r="C13" s="48" t="s">
        <v>293</v>
      </c>
      <c r="D13" s="49" t="s">
        <v>294</v>
      </c>
      <c r="E13" s="49" t="s">
        <v>295</v>
      </c>
      <c r="F13" s="49" t="s">
        <v>296</v>
      </c>
      <c r="G13" s="49" t="s">
        <v>297</v>
      </c>
      <c r="H13" s="49" t="s">
        <v>298</v>
      </c>
      <c r="I13" s="49" t="s">
        <v>299</v>
      </c>
      <c r="J13" s="49" t="s">
        <v>300</v>
      </c>
      <c r="K13" s="50" t="s">
        <v>293</v>
      </c>
      <c r="L13" s="49" t="s">
        <v>1040</v>
      </c>
      <c r="M13" s="49" t="s">
        <v>1041</v>
      </c>
      <c r="N13" s="49" t="s">
        <v>1042</v>
      </c>
      <c r="O13" s="49" t="s">
        <v>1043</v>
      </c>
      <c r="Q13" s="56" t="s">
        <v>995</v>
      </c>
      <c r="R13" s="57" t="s">
        <v>1044</v>
      </c>
      <c r="S13" s="58" t="s">
        <v>1045</v>
      </c>
    </row>
    <row r="14" customFormat="false" ht="93" hidden="false" customHeight="true" outlineLevel="0" collapsed="false">
      <c r="A14" s="47" t="s">
        <v>301</v>
      </c>
      <c r="B14" s="48" t="s">
        <v>292</v>
      </c>
      <c r="C14" s="48" t="s">
        <v>302</v>
      </c>
      <c r="D14" s="49" t="s">
        <v>303</v>
      </c>
      <c r="E14" s="49" t="s">
        <v>304</v>
      </c>
      <c r="F14" s="49" t="s">
        <v>305</v>
      </c>
      <c r="G14" s="49" t="s">
        <v>306</v>
      </c>
      <c r="H14" s="49" t="s">
        <v>307</v>
      </c>
      <c r="I14" s="49" t="s">
        <v>308</v>
      </c>
      <c r="J14" s="49" t="s">
        <v>309</v>
      </c>
      <c r="K14" s="50" t="s">
        <v>302</v>
      </c>
      <c r="L14" s="49" t="s">
        <v>1046</v>
      </c>
      <c r="M14" s="49" t="s">
        <v>1047</v>
      </c>
      <c r="N14" s="49" t="s">
        <v>1048</v>
      </c>
      <c r="O14" s="49" t="s">
        <v>1049</v>
      </c>
      <c r="Q14" s="56" t="s">
        <v>995</v>
      </c>
      <c r="R14" s="57" t="s">
        <v>1050</v>
      </c>
      <c r="S14" s="58" t="s">
        <v>1051</v>
      </c>
    </row>
    <row r="15" customFormat="false" ht="139.5" hidden="false" customHeight="true" outlineLevel="0" collapsed="false">
      <c r="A15" s="47" t="s">
        <v>310</v>
      </c>
      <c r="B15" s="48" t="s">
        <v>311</v>
      </c>
      <c r="C15" s="48" t="s">
        <v>312</v>
      </c>
      <c r="D15" s="49" t="s">
        <v>313</v>
      </c>
      <c r="E15" s="49" t="s">
        <v>314</v>
      </c>
      <c r="F15" s="49" t="s">
        <v>315</v>
      </c>
      <c r="G15" s="49" t="s">
        <v>316</v>
      </c>
      <c r="H15" s="49" t="s">
        <v>317</v>
      </c>
      <c r="I15" s="49" t="s">
        <v>318</v>
      </c>
      <c r="J15" s="49" t="s">
        <v>319</v>
      </c>
      <c r="K15" s="50" t="s">
        <v>312</v>
      </c>
      <c r="L15" s="49" t="s">
        <v>1052</v>
      </c>
      <c r="M15" s="49" t="s">
        <v>1053</v>
      </c>
      <c r="N15" s="49" t="s">
        <v>1054</v>
      </c>
      <c r="O15" s="49" t="s">
        <v>1055</v>
      </c>
      <c r="Q15" s="56" t="s">
        <v>995</v>
      </c>
      <c r="R15" s="57" t="s">
        <v>1056</v>
      </c>
      <c r="S15" s="58" t="s">
        <v>1057</v>
      </c>
    </row>
    <row r="16" customFormat="false" ht="139.5" hidden="false" customHeight="true" outlineLevel="0" collapsed="false">
      <c r="A16" s="47" t="s">
        <v>320</v>
      </c>
      <c r="B16" s="48" t="s">
        <v>311</v>
      </c>
      <c r="C16" s="48" t="s">
        <v>321</v>
      </c>
      <c r="D16" s="49" t="s">
        <v>322</v>
      </c>
      <c r="E16" s="49" t="s">
        <v>323</v>
      </c>
      <c r="F16" s="49" t="s">
        <v>324</v>
      </c>
      <c r="G16" s="49" t="s">
        <v>325</v>
      </c>
      <c r="H16" s="49" t="s">
        <v>326</v>
      </c>
      <c r="I16" s="49" t="s">
        <v>327</v>
      </c>
      <c r="J16" s="49" t="s">
        <v>328</v>
      </c>
      <c r="K16" s="50" t="s">
        <v>321</v>
      </c>
      <c r="L16" s="49" t="s">
        <v>1058</v>
      </c>
      <c r="M16" s="49" t="s">
        <v>1059</v>
      </c>
      <c r="N16" s="49" t="s">
        <v>1060</v>
      </c>
      <c r="O16" s="49" t="s">
        <v>1061</v>
      </c>
      <c r="Q16" s="56" t="s">
        <v>995</v>
      </c>
      <c r="R16" s="57" t="s">
        <v>1062</v>
      </c>
      <c r="S16" s="58" t="s">
        <v>1063</v>
      </c>
    </row>
    <row r="17" customFormat="false" ht="108" hidden="false" customHeight="true" outlineLevel="0" collapsed="false">
      <c r="A17" s="47" t="s">
        <v>329</v>
      </c>
      <c r="B17" s="48" t="s">
        <v>330</v>
      </c>
      <c r="C17" s="48" t="s">
        <v>331</v>
      </c>
      <c r="D17" s="49" t="s">
        <v>332</v>
      </c>
      <c r="E17" s="49" t="s">
        <v>333</v>
      </c>
      <c r="F17" s="49" t="s">
        <v>334</v>
      </c>
      <c r="G17" s="49" t="s">
        <v>335</v>
      </c>
      <c r="H17" s="49" t="s">
        <v>336</v>
      </c>
      <c r="I17" s="49" t="s">
        <v>337</v>
      </c>
      <c r="J17" s="49" t="s">
        <v>338</v>
      </c>
      <c r="K17" s="50" t="s">
        <v>331</v>
      </c>
      <c r="L17" s="49" t="s">
        <v>1064</v>
      </c>
      <c r="M17" s="49" t="s">
        <v>1065</v>
      </c>
      <c r="N17" s="49" t="s">
        <v>1066</v>
      </c>
      <c r="O17" s="49" t="s">
        <v>1067</v>
      </c>
      <c r="Q17" s="56" t="s">
        <v>995</v>
      </c>
      <c r="R17" s="57" t="s">
        <v>1068</v>
      </c>
      <c r="S17" s="58" t="s">
        <v>1069</v>
      </c>
    </row>
    <row r="18" customFormat="false" ht="170.25" hidden="false" customHeight="true" outlineLevel="0" collapsed="false">
      <c r="A18" s="47" t="s">
        <v>339</v>
      </c>
      <c r="B18" s="48" t="s">
        <v>330</v>
      </c>
      <c r="C18" s="48" t="s">
        <v>340</v>
      </c>
      <c r="D18" s="49" t="s">
        <v>341</v>
      </c>
      <c r="E18" s="49" t="s">
        <v>342</v>
      </c>
      <c r="F18" s="49" t="s">
        <v>343</v>
      </c>
      <c r="G18" s="49" t="s">
        <v>344</v>
      </c>
      <c r="H18" s="49" t="s">
        <v>345</v>
      </c>
      <c r="I18" s="49" t="s">
        <v>346</v>
      </c>
      <c r="J18" s="49" t="s">
        <v>347</v>
      </c>
      <c r="K18" s="50" t="s">
        <v>340</v>
      </c>
      <c r="L18" s="49" t="s">
        <v>1070</v>
      </c>
      <c r="M18" s="49" t="s">
        <v>1071</v>
      </c>
      <c r="N18" s="49" t="s">
        <v>1072</v>
      </c>
      <c r="O18" s="49" t="s">
        <v>1073</v>
      </c>
      <c r="Q18" s="56" t="s">
        <v>995</v>
      </c>
      <c r="R18" s="57" t="s">
        <v>1074</v>
      </c>
      <c r="S18" s="58" t="s">
        <v>1075</v>
      </c>
    </row>
    <row r="19" customFormat="false" ht="93" hidden="false" customHeight="true" outlineLevel="0" collapsed="false">
      <c r="A19" s="47" t="s">
        <v>348</v>
      </c>
      <c r="B19" s="48" t="s">
        <v>330</v>
      </c>
      <c r="C19" s="48" t="s">
        <v>349</v>
      </c>
      <c r="D19" s="49" t="s">
        <v>350</v>
      </c>
      <c r="E19" s="49" t="s">
        <v>351</v>
      </c>
      <c r="F19" s="49" t="s">
        <v>352</v>
      </c>
      <c r="G19" s="49" t="s">
        <v>353</v>
      </c>
      <c r="H19" s="49" t="s">
        <v>354</v>
      </c>
      <c r="I19" s="49" t="s">
        <v>355</v>
      </c>
      <c r="J19" s="49" t="s">
        <v>356</v>
      </c>
      <c r="K19" s="50" t="s">
        <v>349</v>
      </c>
      <c r="L19" s="49" t="s">
        <v>1076</v>
      </c>
      <c r="M19" s="49" t="s">
        <v>1077</v>
      </c>
      <c r="N19" s="49" t="s">
        <v>1078</v>
      </c>
      <c r="O19" s="49" t="s">
        <v>1079</v>
      </c>
      <c r="Q19" s="56" t="s">
        <v>995</v>
      </c>
      <c r="R19" s="57" t="s">
        <v>1080</v>
      </c>
      <c r="S19" s="58" t="s">
        <v>1081</v>
      </c>
    </row>
    <row r="20" customFormat="false" ht="170.25" hidden="false" customHeight="true" outlineLevel="0" collapsed="false">
      <c r="A20" s="47" t="s">
        <v>357</v>
      </c>
      <c r="B20" s="48" t="s">
        <v>330</v>
      </c>
      <c r="C20" s="48" t="s">
        <v>358</v>
      </c>
      <c r="D20" s="49" t="s">
        <v>359</v>
      </c>
      <c r="E20" s="49" t="s">
        <v>360</v>
      </c>
      <c r="F20" s="49" t="s">
        <v>361</v>
      </c>
      <c r="G20" s="49" t="s">
        <v>362</v>
      </c>
      <c r="H20" s="49" t="s">
        <v>363</v>
      </c>
      <c r="I20" s="49" t="s">
        <v>364</v>
      </c>
      <c r="J20" s="49" t="s">
        <v>365</v>
      </c>
      <c r="K20" s="50" t="s">
        <v>358</v>
      </c>
      <c r="L20" s="49" t="s">
        <v>1082</v>
      </c>
      <c r="M20" s="49" t="s">
        <v>1083</v>
      </c>
      <c r="N20" s="49" t="s">
        <v>1084</v>
      </c>
      <c r="O20" s="49" t="s">
        <v>1085</v>
      </c>
      <c r="Q20" s="56" t="s">
        <v>995</v>
      </c>
      <c r="R20" s="57" t="s">
        <v>1086</v>
      </c>
      <c r="S20" s="58" t="s">
        <v>1087</v>
      </c>
    </row>
    <row r="21" customFormat="false" ht="61.5" hidden="false" customHeight="true" outlineLevel="0" collapsed="false">
      <c r="A21" s="47" t="s">
        <v>366</v>
      </c>
      <c r="B21" s="48" t="s">
        <v>330</v>
      </c>
      <c r="C21" s="48" t="s">
        <v>367</v>
      </c>
      <c r="D21" s="49" t="s">
        <v>368</v>
      </c>
      <c r="E21" s="49" t="s">
        <v>369</v>
      </c>
      <c r="F21" s="49" t="s">
        <v>370</v>
      </c>
      <c r="G21" s="49" t="s">
        <v>371</v>
      </c>
      <c r="H21" s="49" t="s">
        <v>372</v>
      </c>
      <c r="I21" s="49" t="s">
        <v>373</v>
      </c>
      <c r="J21" s="49" t="s">
        <v>374</v>
      </c>
      <c r="K21" s="50" t="s">
        <v>367</v>
      </c>
      <c r="L21" s="49" t="s">
        <v>1088</v>
      </c>
      <c r="M21" s="49" t="s">
        <v>1089</v>
      </c>
      <c r="N21" s="49" t="s">
        <v>1090</v>
      </c>
      <c r="O21" s="49" t="s">
        <v>1091</v>
      </c>
      <c r="Q21" s="56" t="s">
        <v>995</v>
      </c>
      <c r="R21" s="57" t="s">
        <v>1092</v>
      </c>
      <c r="S21" s="58" t="s">
        <v>1093</v>
      </c>
    </row>
    <row r="22" customFormat="false" ht="77.25" hidden="false" customHeight="true" outlineLevel="0" collapsed="false">
      <c r="A22" s="47" t="s">
        <v>375</v>
      </c>
      <c r="B22" s="48" t="s">
        <v>376</v>
      </c>
      <c r="C22" s="48" t="s">
        <v>377</v>
      </c>
      <c r="D22" s="49" t="s">
        <v>378</v>
      </c>
      <c r="E22" s="49" t="s">
        <v>379</v>
      </c>
      <c r="F22" s="49" t="s">
        <v>380</v>
      </c>
      <c r="G22" s="49" t="s">
        <v>381</v>
      </c>
      <c r="H22" s="49" t="s">
        <v>382</v>
      </c>
      <c r="I22" s="49" t="s">
        <v>383</v>
      </c>
      <c r="J22" s="49" t="s">
        <v>384</v>
      </c>
      <c r="K22" s="50" t="s">
        <v>377</v>
      </c>
      <c r="L22" s="49" t="s">
        <v>1094</v>
      </c>
      <c r="M22" s="49" t="s">
        <v>1095</v>
      </c>
      <c r="N22" s="49" t="s">
        <v>1096</v>
      </c>
      <c r="O22" s="49" t="s">
        <v>1097</v>
      </c>
      <c r="Q22" s="56" t="s">
        <v>995</v>
      </c>
      <c r="R22" s="57" t="s">
        <v>1098</v>
      </c>
      <c r="S22" s="58" t="s">
        <v>1099</v>
      </c>
    </row>
    <row r="23" customFormat="false" ht="123.75" hidden="false" customHeight="true" outlineLevel="0" collapsed="false">
      <c r="A23" s="47" t="s">
        <v>385</v>
      </c>
      <c r="B23" s="48" t="s">
        <v>376</v>
      </c>
      <c r="C23" s="48" t="s">
        <v>386</v>
      </c>
      <c r="D23" s="49" t="s">
        <v>387</v>
      </c>
      <c r="E23" s="49" t="s">
        <v>388</v>
      </c>
      <c r="F23" s="49" t="s">
        <v>389</v>
      </c>
      <c r="G23" s="49" t="s">
        <v>390</v>
      </c>
      <c r="H23" s="49" t="s">
        <v>391</v>
      </c>
      <c r="I23" s="49" t="s">
        <v>392</v>
      </c>
      <c r="J23" s="49" t="s">
        <v>393</v>
      </c>
      <c r="K23" s="50" t="s">
        <v>386</v>
      </c>
      <c r="L23" s="49" t="s">
        <v>1100</v>
      </c>
      <c r="M23" s="49" t="s">
        <v>1101</v>
      </c>
      <c r="N23" s="49" t="s">
        <v>1102</v>
      </c>
      <c r="O23" s="49" t="s">
        <v>1103</v>
      </c>
      <c r="Q23" s="56" t="s">
        <v>995</v>
      </c>
      <c r="R23" s="57" t="s">
        <v>1104</v>
      </c>
      <c r="S23" s="58" t="s">
        <v>1105</v>
      </c>
    </row>
    <row r="24" customFormat="false" ht="77.25" hidden="false" customHeight="true" outlineLevel="0" collapsed="false">
      <c r="A24" s="47" t="s">
        <v>394</v>
      </c>
      <c r="B24" s="50" t="s">
        <v>395</v>
      </c>
      <c r="C24" s="50" t="s">
        <v>396</v>
      </c>
      <c r="D24" s="49" t="s">
        <v>397</v>
      </c>
      <c r="E24" s="49" t="s">
        <v>398</v>
      </c>
      <c r="F24" s="49" t="s">
        <v>399</v>
      </c>
      <c r="G24" s="49" t="s">
        <v>400</v>
      </c>
      <c r="H24" s="49" t="s">
        <v>401</v>
      </c>
      <c r="I24" s="49" t="s">
        <v>402</v>
      </c>
      <c r="J24" s="49" t="s">
        <v>403</v>
      </c>
      <c r="K24" s="50" t="s">
        <v>396</v>
      </c>
      <c r="L24" s="49" t="s">
        <v>1106</v>
      </c>
      <c r="M24" s="49" t="s">
        <v>1107</v>
      </c>
      <c r="N24" s="49" t="s">
        <v>1108</v>
      </c>
      <c r="O24" s="49" t="s">
        <v>1109</v>
      </c>
      <c r="Q24" s="56" t="s">
        <v>1110</v>
      </c>
      <c r="R24" s="57" t="s">
        <v>1111</v>
      </c>
      <c r="S24" s="58" t="s">
        <v>1112</v>
      </c>
    </row>
    <row r="25" customFormat="false" ht="77.25" hidden="false" customHeight="true" outlineLevel="0" collapsed="false">
      <c r="A25" s="47" t="s">
        <v>404</v>
      </c>
      <c r="B25" s="50" t="s">
        <v>395</v>
      </c>
      <c r="C25" s="50" t="s">
        <v>405</v>
      </c>
      <c r="D25" s="49" t="s">
        <v>406</v>
      </c>
      <c r="E25" s="49" t="s">
        <v>407</v>
      </c>
      <c r="F25" s="49" t="s">
        <v>408</v>
      </c>
      <c r="G25" s="49" t="s">
        <v>409</v>
      </c>
      <c r="H25" s="49" t="s">
        <v>410</v>
      </c>
      <c r="I25" s="49" t="s">
        <v>411</v>
      </c>
      <c r="J25" s="49" t="s">
        <v>412</v>
      </c>
      <c r="K25" s="50" t="s">
        <v>405</v>
      </c>
      <c r="L25" s="49" t="s">
        <v>1113</v>
      </c>
      <c r="M25" s="49" t="s">
        <v>1114</v>
      </c>
      <c r="N25" s="49" t="s">
        <v>1115</v>
      </c>
      <c r="O25" s="49" t="s">
        <v>1116</v>
      </c>
      <c r="Q25" s="56" t="s">
        <v>1110</v>
      </c>
      <c r="R25" s="57" t="s">
        <v>1117</v>
      </c>
      <c r="S25" s="58" t="s">
        <v>1118</v>
      </c>
    </row>
    <row r="26" customFormat="false" ht="77.25" hidden="false" customHeight="true" outlineLevel="0" collapsed="false">
      <c r="A26" s="47" t="s">
        <v>413</v>
      </c>
      <c r="B26" s="50" t="s">
        <v>395</v>
      </c>
      <c r="C26" s="50" t="s">
        <v>414</v>
      </c>
      <c r="D26" s="49" t="s">
        <v>415</v>
      </c>
      <c r="E26" s="49" t="s">
        <v>416</v>
      </c>
      <c r="F26" s="49" t="s">
        <v>417</v>
      </c>
      <c r="G26" s="49" t="s">
        <v>418</v>
      </c>
      <c r="H26" s="49" t="s">
        <v>419</v>
      </c>
      <c r="I26" s="49" t="s">
        <v>420</v>
      </c>
      <c r="J26" s="49" t="s">
        <v>421</v>
      </c>
      <c r="K26" s="50" t="s">
        <v>414</v>
      </c>
      <c r="L26" s="49" t="s">
        <v>1119</v>
      </c>
      <c r="M26" s="49" t="s">
        <v>1120</v>
      </c>
      <c r="N26" s="49" t="s">
        <v>1121</v>
      </c>
      <c r="O26" s="49" t="s">
        <v>1122</v>
      </c>
      <c r="Q26" s="56" t="s">
        <v>1110</v>
      </c>
      <c r="R26" s="57" t="s">
        <v>1123</v>
      </c>
      <c r="S26" s="58" t="s">
        <v>1124</v>
      </c>
    </row>
    <row r="27" customFormat="false" ht="77.25" hidden="false" customHeight="true" outlineLevel="0" collapsed="false">
      <c r="A27" s="47" t="s">
        <v>422</v>
      </c>
      <c r="B27" s="50" t="s">
        <v>423</v>
      </c>
      <c r="C27" s="50" t="s">
        <v>424</v>
      </c>
      <c r="D27" s="49" t="s">
        <v>425</v>
      </c>
      <c r="E27" s="49" t="s">
        <v>426</v>
      </c>
      <c r="F27" s="49" t="s">
        <v>427</v>
      </c>
      <c r="G27" s="49" t="s">
        <v>428</v>
      </c>
      <c r="H27" s="49" t="s">
        <v>429</v>
      </c>
      <c r="I27" s="49" t="s">
        <v>430</v>
      </c>
      <c r="J27" s="49" t="s">
        <v>431</v>
      </c>
      <c r="K27" s="50" t="s">
        <v>424</v>
      </c>
      <c r="L27" s="49" t="s">
        <v>1125</v>
      </c>
      <c r="M27" s="49" t="s">
        <v>1126</v>
      </c>
      <c r="N27" s="49" t="s">
        <v>1127</v>
      </c>
      <c r="O27" s="49" t="s">
        <v>1128</v>
      </c>
      <c r="Q27" s="56" t="s">
        <v>1110</v>
      </c>
      <c r="R27" s="57" t="s">
        <v>1129</v>
      </c>
      <c r="S27" s="58" t="s">
        <v>1130</v>
      </c>
    </row>
    <row r="28" customFormat="false" ht="77.25" hidden="false" customHeight="true" outlineLevel="0" collapsed="false">
      <c r="A28" s="47" t="s">
        <v>432</v>
      </c>
      <c r="B28" s="50" t="s">
        <v>423</v>
      </c>
      <c r="C28" s="50" t="s">
        <v>433</v>
      </c>
      <c r="D28" s="49" t="s">
        <v>434</v>
      </c>
      <c r="E28" s="49" t="s">
        <v>435</v>
      </c>
      <c r="F28" s="49" t="s">
        <v>436</v>
      </c>
      <c r="G28" s="49" t="s">
        <v>437</v>
      </c>
      <c r="H28" s="49" t="s">
        <v>438</v>
      </c>
      <c r="I28" s="49" t="s">
        <v>439</v>
      </c>
      <c r="J28" s="49" t="s">
        <v>440</v>
      </c>
      <c r="K28" s="50" t="s">
        <v>433</v>
      </c>
      <c r="L28" s="49" t="s">
        <v>1131</v>
      </c>
      <c r="M28" s="49" t="s">
        <v>1132</v>
      </c>
      <c r="N28" s="49" t="s">
        <v>1133</v>
      </c>
      <c r="O28" s="49" t="s">
        <v>1134</v>
      </c>
      <c r="Q28" s="56" t="s">
        <v>1110</v>
      </c>
      <c r="R28" s="57" t="s">
        <v>1135</v>
      </c>
      <c r="S28" s="58" t="s">
        <v>1136</v>
      </c>
    </row>
    <row r="29" customFormat="false" ht="93" hidden="false" customHeight="true" outlineLevel="0" collapsed="false">
      <c r="A29" s="47" t="s">
        <v>441</v>
      </c>
      <c r="B29" s="50" t="s">
        <v>423</v>
      </c>
      <c r="C29" s="50" t="s">
        <v>442</v>
      </c>
      <c r="D29" s="49" t="s">
        <v>443</v>
      </c>
      <c r="E29" s="49" t="s">
        <v>444</v>
      </c>
      <c r="F29" s="49" t="s">
        <v>445</v>
      </c>
      <c r="G29" s="49" t="s">
        <v>446</v>
      </c>
      <c r="H29" s="49" t="s">
        <v>447</v>
      </c>
      <c r="I29" s="49" t="s">
        <v>448</v>
      </c>
      <c r="J29" s="49" t="s">
        <v>449</v>
      </c>
      <c r="K29" s="50" t="s">
        <v>442</v>
      </c>
      <c r="L29" s="49" t="s">
        <v>1137</v>
      </c>
      <c r="M29" s="49" t="s">
        <v>1138</v>
      </c>
      <c r="N29" s="49" t="s">
        <v>1139</v>
      </c>
      <c r="O29" s="49" t="s">
        <v>1140</v>
      </c>
      <c r="Q29" s="56" t="s">
        <v>1110</v>
      </c>
      <c r="R29" s="57" t="s">
        <v>1141</v>
      </c>
      <c r="S29" s="58" t="s">
        <v>1142</v>
      </c>
    </row>
    <row r="30" customFormat="false" ht="77.25" hidden="false" customHeight="true" outlineLevel="0" collapsed="false">
      <c r="A30" s="47" t="s">
        <v>450</v>
      </c>
      <c r="B30" s="50" t="s">
        <v>451</v>
      </c>
      <c r="C30" s="50" t="s">
        <v>452</v>
      </c>
      <c r="D30" s="49" t="s">
        <v>453</v>
      </c>
      <c r="E30" s="49" t="s">
        <v>454</v>
      </c>
      <c r="F30" s="49" t="s">
        <v>455</v>
      </c>
      <c r="G30" s="49" t="s">
        <v>456</v>
      </c>
      <c r="H30" s="49" t="s">
        <v>457</v>
      </c>
      <c r="I30" s="49" t="s">
        <v>458</v>
      </c>
      <c r="J30" s="49" t="s">
        <v>459</v>
      </c>
      <c r="K30" s="50" t="s">
        <v>452</v>
      </c>
      <c r="L30" s="49" t="s">
        <v>1143</v>
      </c>
      <c r="M30" s="49" t="s">
        <v>1144</v>
      </c>
      <c r="N30" s="49" t="s">
        <v>1145</v>
      </c>
      <c r="O30" s="49" t="s">
        <v>1146</v>
      </c>
      <c r="Q30" s="56" t="s">
        <v>1110</v>
      </c>
      <c r="R30" s="57" t="s">
        <v>1147</v>
      </c>
      <c r="S30" s="58" t="s">
        <v>1148</v>
      </c>
    </row>
    <row r="31" customFormat="false" ht="61.5" hidden="false" customHeight="true" outlineLevel="0" collapsed="false">
      <c r="A31" s="47" t="s">
        <v>460</v>
      </c>
      <c r="B31" s="50" t="s">
        <v>451</v>
      </c>
      <c r="C31" s="50" t="s">
        <v>461</v>
      </c>
      <c r="D31" s="49" t="s">
        <v>462</v>
      </c>
      <c r="E31" s="49" t="s">
        <v>463</v>
      </c>
      <c r="F31" s="49" t="s">
        <v>464</v>
      </c>
      <c r="G31" s="49" t="s">
        <v>465</v>
      </c>
      <c r="H31" s="49" t="s">
        <v>466</v>
      </c>
      <c r="I31" s="49" t="s">
        <v>467</v>
      </c>
      <c r="J31" s="49" t="s">
        <v>468</v>
      </c>
      <c r="K31" s="50" t="s">
        <v>461</v>
      </c>
      <c r="L31" s="49" t="s">
        <v>1149</v>
      </c>
      <c r="M31" s="49" t="s">
        <v>1150</v>
      </c>
      <c r="N31" s="49" t="s">
        <v>1151</v>
      </c>
      <c r="O31" s="49" t="s">
        <v>1152</v>
      </c>
      <c r="Q31" s="56" t="s">
        <v>1110</v>
      </c>
      <c r="R31" s="57" t="s">
        <v>1153</v>
      </c>
      <c r="S31" s="58" t="s">
        <v>1154</v>
      </c>
    </row>
    <row r="32" customFormat="false" ht="77.25" hidden="false" customHeight="true" outlineLevel="0" collapsed="false">
      <c r="A32" s="47" t="s">
        <v>469</v>
      </c>
      <c r="B32" s="50" t="s">
        <v>451</v>
      </c>
      <c r="C32" s="50" t="s">
        <v>470</v>
      </c>
      <c r="D32" s="49" t="s">
        <v>471</v>
      </c>
      <c r="E32" s="49" t="s">
        <v>472</v>
      </c>
      <c r="F32" s="49" t="s">
        <v>473</v>
      </c>
      <c r="G32" s="49" t="s">
        <v>474</v>
      </c>
      <c r="H32" s="49" t="s">
        <v>475</v>
      </c>
      <c r="I32" s="49" t="s">
        <v>476</v>
      </c>
      <c r="J32" s="49" t="s">
        <v>477</v>
      </c>
      <c r="K32" s="50" t="s">
        <v>470</v>
      </c>
      <c r="L32" s="49" t="s">
        <v>1155</v>
      </c>
      <c r="M32" s="49" t="s">
        <v>1156</v>
      </c>
      <c r="N32" s="49" t="s">
        <v>1157</v>
      </c>
      <c r="O32" s="49" t="s">
        <v>1158</v>
      </c>
      <c r="Q32" s="56" t="s">
        <v>1110</v>
      </c>
      <c r="R32" s="57" t="s">
        <v>1159</v>
      </c>
      <c r="S32" s="58" t="s">
        <v>1160</v>
      </c>
    </row>
    <row r="33" customFormat="false" ht="77.25" hidden="false" customHeight="true" outlineLevel="0" collapsed="false">
      <c r="A33" s="47" t="s">
        <v>478</v>
      </c>
      <c r="B33" s="50" t="s">
        <v>479</v>
      </c>
      <c r="C33" s="50" t="s">
        <v>480</v>
      </c>
      <c r="D33" s="49" t="s">
        <v>481</v>
      </c>
      <c r="E33" s="49" t="s">
        <v>482</v>
      </c>
      <c r="F33" s="49" t="s">
        <v>483</v>
      </c>
      <c r="G33" s="49" t="s">
        <v>484</v>
      </c>
      <c r="H33" s="49" t="s">
        <v>485</v>
      </c>
      <c r="I33" s="49" t="s">
        <v>486</v>
      </c>
      <c r="J33" s="49" t="s">
        <v>487</v>
      </c>
      <c r="K33" s="50" t="s">
        <v>480</v>
      </c>
      <c r="L33" s="49" t="s">
        <v>1161</v>
      </c>
      <c r="M33" s="49" t="s">
        <v>1162</v>
      </c>
      <c r="N33" s="49" t="s">
        <v>1163</v>
      </c>
      <c r="O33" s="49" t="s">
        <v>1164</v>
      </c>
      <c r="Q33" s="56" t="s">
        <v>1110</v>
      </c>
      <c r="R33" s="57" t="s">
        <v>1165</v>
      </c>
      <c r="S33" s="58" t="s">
        <v>1166</v>
      </c>
    </row>
    <row r="34" customFormat="false" ht="139.5" hidden="false" customHeight="true" outlineLevel="0" collapsed="false">
      <c r="A34" s="47" t="s">
        <v>488</v>
      </c>
      <c r="B34" s="50" t="s">
        <v>479</v>
      </c>
      <c r="C34" s="50" t="s">
        <v>489</v>
      </c>
      <c r="D34" s="49" t="s">
        <v>490</v>
      </c>
      <c r="E34" s="49" t="s">
        <v>491</v>
      </c>
      <c r="F34" s="49" t="s">
        <v>492</v>
      </c>
      <c r="G34" s="49" t="s">
        <v>493</v>
      </c>
      <c r="H34" s="49" t="s">
        <v>494</v>
      </c>
      <c r="I34" s="49" t="s">
        <v>495</v>
      </c>
      <c r="J34" s="49" t="s">
        <v>496</v>
      </c>
      <c r="K34" s="50" t="s">
        <v>489</v>
      </c>
      <c r="L34" s="49" t="s">
        <v>1167</v>
      </c>
      <c r="M34" s="49" t="s">
        <v>1168</v>
      </c>
      <c r="N34" s="49" t="s">
        <v>1169</v>
      </c>
      <c r="O34" s="49" t="s">
        <v>1170</v>
      </c>
      <c r="Q34" s="56" t="s">
        <v>1110</v>
      </c>
      <c r="R34" s="57" t="s">
        <v>1171</v>
      </c>
      <c r="S34" s="58" t="s">
        <v>1172</v>
      </c>
    </row>
    <row r="35" customFormat="false" ht="61.5" hidden="false" customHeight="true" outlineLevel="0" collapsed="false">
      <c r="A35" s="47" t="s">
        <v>497</v>
      </c>
      <c r="B35" s="50" t="s">
        <v>479</v>
      </c>
      <c r="C35" s="50" t="s">
        <v>498</v>
      </c>
      <c r="D35" s="49" t="s">
        <v>499</v>
      </c>
      <c r="E35" s="49" t="s">
        <v>500</v>
      </c>
      <c r="F35" s="49" t="s">
        <v>501</v>
      </c>
      <c r="G35" s="49" t="s">
        <v>502</v>
      </c>
      <c r="H35" s="49" t="s">
        <v>503</v>
      </c>
      <c r="I35" s="49" t="s">
        <v>504</v>
      </c>
      <c r="J35" s="49" t="s">
        <v>505</v>
      </c>
      <c r="K35" s="50" t="s">
        <v>498</v>
      </c>
      <c r="L35" s="49" t="s">
        <v>1173</v>
      </c>
      <c r="M35" s="49" t="s">
        <v>1174</v>
      </c>
      <c r="N35" s="49" t="s">
        <v>1175</v>
      </c>
      <c r="O35" s="49" t="s">
        <v>1176</v>
      </c>
      <c r="Q35" s="56" t="s">
        <v>1110</v>
      </c>
      <c r="R35" s="57" t="s">
        <v>1177</v>
      </c>
      <c r="S35" s="58" t="s">
        <v>1178</v>
      </c>
    </row>
    <row r="36" customFormat="false" ht="77.25" hidden="false" customHeight="true" outlineLevel="0" collapsed="false">
      <c r="A36" s="47" t="s">
        <v>506</v>
      </c>
      <c r="B36" s="50" t="s">
        <v>507</v>
      </c>
      <c r="C36" s="50" t="s">
        <v>508</v>
      </c>
      <c r="D36" s="49" t="s">
        <v>509</v>
      </c>
      <c r="E36" s="49" t="s">
        <v>510</v>
      </c>
      <c r="F36" s="49" t="s">
        <v>511</v>
      </c>
      <c r="G36" s="49" t="s">
        <v>512</v>
      </c>
      <c r="H36" s="49" t="s">
        <v>513</v>
      </c>
      <c r="I36" s="49" t="s">
        <v>514</v>
      </c>
      <c r="J36" s="49" t="s">
        <v>515</v>
      </c>
      <c r="K36" s="50" t="s">
        <v>508</v>
      </c>
      <c r="L36" s="49" t="s">
        <v>1179</v>
      </c>
      <c r="M36" s="49" t="s">
        <v>1180</v>
      </c>
      <c r="N36" s="49" t="s">
        <v>1181</v>
      </c>
      <c r="O36" s="49" t="s">
        <v>1182</v>
      </c>
      <c r="Q36" s="56" t="s">
        <v>1110</v>
      </c>
      <c r="R36" s="57" t="s">
        <v>1183</v>
      </c>
      <c r="S36" s="58" t="s">
        <v>1184</v>
      </c>
    </row>
    <row r="37" customFormat="false" ht="123.75" hidden="false" customHeight="true" outlineLevel="0" collapsed="false">
      <c r="A37" s="47" t="s">
        <v>516</v>
      </c>
      <c r="B37" s="50" t="s">
        <v>507</v>
      </c>
      <c r="C37" s="50" t="s">
        <v>517</v>
      </c>
      <c r="D37" s="49" t="s">
        <v>518</v>
      </c>
      <c r="E37" s="49" t="s">
        <v>519</v>
      </c>
      <c r="F37" s="49" t="s">
        <v>520</v>
      </c>
      <c r="G37" s="49" t="s">
        <v>521</v>
      </c>
      <c r="H37" s="49" t="s">
        <v>522</v>
      </c>
      <c r="I37" s="49" t="s">
        <v>523</v>
      </c>
      <c r="J37" s="49" t="s">
        <v>524</v>
      </c>
      <c r="K37" s="50" t="s">
        <v>517</v>
      </c>
      <c r="L37" s="49" t="s">
        <v>1185</v>
      </c>
      <c r="M37" s="49" t="s">
        <v>1186</v>
      </c>
      <c r="N37" s="49" t="s">
        <v>1187</v>
      </c>
      <c r="O37" s="49" t="s">
        <v>1188</v>
      </c>
      <c r="Q37" s="56" t="s">
        <v>1110</v>
      </c>
      <c r="R37" s="57" t="s">
        <v>1189</v>
      </c>
      <c r="S37" s="58" t="s">
        <v>1190</v>
      </c>
    </row>
    <row r="38" customFormat="false" ht="77.25" hidden="false" customHeight="true" outlineLevel="0" collapsed="false">
      <c r="A38" s="47" t="s">
        <v>525</v>
      </c>
      <c r="B38" s="50" t="s">
        <v>507</v>
      </c>
      <c r="C38" s="50" t="s">
        <v>526</v>
      </c>
      <c r="D38" s="49" t="s">
        <v>527</v>
      </c>
      <c r="E38" s="49" t="s">
        <v>528</v>
      </c>
      <c r="F38" s="49" t="s">
        <v>529</v>
      </c>
      <c r="G38" s="49" t="s">
        <v>530</v>
      </c>
      <c r="H38" s="49" t="s">
        <v>531</v>
      </c>
      <c r="I38" s="49" t="s">
        <v>532</v>
      </c>
      <c r="J38" s="49" t="s">
        <v>533</v>
      </c>
      <c r="K38" s="50" t="s">
        <v>526</v>
      </c>
      <c r="L38" s="49" t="s">
        <v>1191</v>
      </c>
      <c r="M38" s="49" t="s">
        <v>1192</v>
      </c>
      <c r="N38" s="49" t="s">
        <v>1193</v>
      </c>
      <c r="O38" s="49" t="s">
        <v>1194</v>
      </c>
      <c r="Q38" s="56" t="s">
        <v>1110</v>
      </c>
      <c r="R38" s="57" t="s">
        <v>1195</v>
      </c>
      <c r="S38" s="58" t="s">
        <v>1196</v>
      </c>
    </row>
    <row r="39" customFormat="false" ht="61.5" hidden="false" customHeight="true" outlineLevel="0" collapsed="false">
      <c r="A39" s="47" t="s">
        <v>534</v>
      </c>
      <c r="B39" s="50" t="s">
        <v>535</v>
      </c>
      <c r="C39" s="50" t="s">
        <v>536</v>
      </c>
      <c r="D39" s="49" t="s">
        <v>537</v>
      </c>
      <c r="E39" s="49" t="s">
        <v>538</v>
      </c>
      <c r="F39" s="49" t="s">
        <v>539</v>
      </c>
      <c r="G39" s="49" t="s">
        <v>540</v>
      </c>
      <c r="H39" s="49" t="s">
        <v>541</v>
      </c>
      <c r="I39" s="49" t="s">
        <v>542</v>
      </c>
      <c r="J39" s="49" t="s">
        <v>543</v>
      </c>
      <c r="K39" s="50" t="s">
        <v>536</v>
      </c>
      <c r="L39" s="49" t="s">
        <v>1197</v>
      </c>
      <c r="M39" s="49" t="s">
        <v>1198</v>
      </c>
      <c r="N39" s="49" t="s">
        <v>1199</v>
      </c>
      <c r="O39" s="49" t="s">
        <v>1200</v>
      </c>
      <c r="Q39" s="56" t="s">
        <v>1110</v>
      </c>
      <c r="R39" s="57" t="s">
        <v>1201</v>
      </c>
      <c r="S39" s="58" t="s">
        <v>1202</v>
      </c>
    </row>
    <row r="40" customFormat="false" ht="77.25" hidden="false" customHeight="true" outlineLevel="0" collapsed="false">
      <c r="A40" s="47" t="s">
        <v>544</v>
      </c>
      <c r="B40" s="50" t="s">
        <v>535</v>
      </c>
      <c r="C40" s="50" t="s">
        <v>545</v>
      </c>
      <c r="D40" s="49" t="s">
        <v>546</v>
      </c>
      <c r="E40" s="49" t="s">
        <v>547</v>
      </c>
      <c r="F40" s="49" t="s">
        <v>548</v>
      </c>
      <c r="G40" s="49" t="s">
        <v>549</v>
      </c>
      <c r="H40" s="49" t="s">
        <v>550</v>
      </c>
      <c r="I40" s="49" t="s">
        <v>551</v>
      </c>
      <c r="J40" s="49" t="s">
        <v>552</v>
      </c>
      <c r="K40" s="50" t="s">
        <v>545</v>
      </c>
      <c r="L40" s="49" t="s">
        <v>1203</v>
      </c>
      <c r="M40" s="49" t="s">
        <v>1204</v>
      </c>
      <c r="N40" s="49" t="s">
        <v>1205</v>
      </c>
      <c r="O40" s="49" t="s">
        <v>1206</v>
      </c>
      <c r="Q40" s="56" t="s">
        <v>1110</v>
      </c>
      <c r="R40" s="57" t="s">
        <v>1207</v>
      </c>
      <c r="S40" s="58" t="s">
        <v>1208</v>
      </c>
    </row>
    <row r="41" customFormat="false" ht="77.25" hidden="false" customHeight="true" outlineLevel="0" collapsed="false">
      <c r="A41" s="47" t="s">
        <v>553</v>
      </c>
      <c r="B41" s="50" t="s">
        <v>554</v>
      </c>
      <c r="C41" s="50" t="s">
        <v>555</v>
      </c>
      <c r="D41" s="49" t="s">
        <v>556</v>
      </c>
      <c r="E41" s="49" t="s">
        <v>557</v>
      </c>
      <c r="F41" s="49" t="s">
        <v>558</v>
      </c>
      <c r="G41" s="49" t="s">
        <v>559</v>
      </c>
      <c r="H41" s="49" t="s">
        <v>560</v>
      </c>
      <c r="I41" s="49" t="s">
        <v>561</v>
      </c>
      <c r="J41" s="49" t="s">
        <v>562</v>
      </c>
      <c r="K41" s="50" t="s">
        <v>555</v>
      </c>
      <c r="L41" s="49" t="s">
        <v>1209</v>
      </c>
      <c r="M41" s="49" t="s">
        <v>1210</v>
      </c>
      <c r="N41" s="49" t="s">
        <v>1211</v>
      </c>
      <c r="O41" s="49" t="s">
        <v>1212</v>
      </c>
      <c r="Q41" s="56" t="s">
        <v>1110</v>
      </c>
      <c r="R41" s="57" t="s">
        <v>1213</v>
      </c>
      <c r="S41" s="58" t="s">
        <v>1214</v>
      </c>
    </row>
    <row r="42" customFormat="false" ht="77.25" hidden="false" customHeight="true" outlineLevel="0" collapsed="false">
      <c r="A42" s="47" t="s">
        <v>563</v>
      </c>
      <c r="B42" s="50" t="s">
        <v>554</v>
      </c>
      <c r="C42" s="50" t="s">
        <v>564</v>
      </c>
      <c r="D42" s="49" t="s">
        <v>565</v>
      </c>
      <c r="E42" s="49" t="s">
        <v>566</v>
      </c>
      <c r="F42" s="49" t="s">
        <v>567</v>
      </c>
      <c r="G42" s="49" t="s">
        <v>568</v>
      </c>
      <c r="H42" s="49" t="s">
        <v>569</v>
      </c>
      <c r="I42" s="49" t="s">
        <v>570</v>
      </c>
      <c r="J42" s="49" t="s">
        <v>571</v>
      </c>
      <c r="K42" s="50" t="s">
        <v>564</v>
      </c>
      <c r="L42" s="49" t="s">
        <v>1215</v>
      </c>
      <c r="M42" s="49" t="s">
        <v>1216</v>
      </c>
      <c r="N42" s="49" t="s">
        <v>1217</v>
      </c>
      <c r="O42" s="49" t="s">
        <v>1218</v>
      </c>
      <c r="Q42" s="56" t="s">
        <v>1110</v>
      </c>
      <c r="R42" s="57" t="s">
        <v>1219</v>
      </c>
      <c r="S42" s="58" t="s">
        <v>1220</v>
      </c>
    </row>
    <row r="43" customFormat="false" ht="108" hidden="false" customHeight="true" outlineLevel="0" collapsed="false">
      <c r="A43" s="47" t="s">
        <v>572</v>
      </c>
      <c r="B43" s="50" t="s">
        <v>554</v>
      </c>
      <c r="C43" s="50" t="s">
        <v>573</v>
      </c>
      <c r="D43" s="49" t="s">
        <v>574</v>
      </c>
      <c r="E43" s="49" t="s">
        <v>575</v>
      </c>
      <c r="F43" s="49" t="s">
        <v>576</v>
      </c>
      <c r="G43" s="49" t="s">
        <v>577</v>
      </c>
      <c r="H43" s="49" t="s">
        <v>578</v>
      </c>
      <c r="I43" s="49" t="s">
        <v>579</v>
      </c>
      <c r="J43" s="49" t="s">
        <v>580</v>
      </c>
      <c r="K43" s="50" t="s">
        <v>573</v>
      </c>
      <c r="L43" s="49" t="s">
        <v>1221</v>
      </c>
      <c r="M43" s="49" t="s">
        <v>1222</v>
      </c>
      <c r="N43" s="49" t="s">
        <v>1223</v>
      </c>
      <c r="O43" s="49" t="s">
        <v>1224</v>
      </c>
      <c r="Q43" s="56" t="s">
        <v>1110</v>
      </c>
      <c r="R43" s="57" t="s">
        <v>1225</v>
      </c>
      <c r="S43" s="58" t="s">
        <v>1226</v>
      </c>
    </row>
    <row r="44" customFormat="false" ht="108" hidden="false" customHeight="true" outlineLevel="0" collapsed="false">
      <c r="A44" s="47" t="s">
        <v>581</v>
      </c>
      <c r="B44" s="50" t="s">
        <v>582</v>
      </c>
      <c r="C44" s="50" t="s">
        <v>583</v>
      </c>
      <c r="D44" s="49" t="s">
        <v>584</v>
      </c>
      <c r="E44" s="49" t="s">
        <v>585</v>
      </c>
      <c r="F44" s="49" t="s">
        <v>586</v>
      </c>
      <c r="G44" s="49" t="s">
        <v>587</v>
      </c>
      <c r="H44" s="49" t="s">
        <v>588</v>
      </c>
      <c r="I44" s="49" t="s">
        <v>589</v>
      </c>
      <c r="J44" s="49" t="s">
        <v>590</v>
      </c>
      <c r="K44" s="50" t="s">
        <v>583</v>
      </c>
      <c r="L44" s="49" t="s">
        <v>1227</v>
      </c>
      <c r="M44" s="49" t="s">
        <v>1228</v>
      </c>
      <c r="N44" s="49" t="s">
        <v>1229</v>
      </c>
      <c r="O44" s="49" t="s">
        <v>1230</v>
      </c>
      <c r="Q44" s="56" t="s">
        <v>1110</v>
      </c>
      <c r="R44" s="57" t="s">
        <v>1231</v>
      </c>
      <c r="S44" s="58" t="s">
        <v>1232</v>
      </c>
    </row>
    <row r="45" customFormat="false" ht="77.25" hidden="false" customHeight="true" outlineLevel="0" collapsed="false">
      <c r="A45" s="47" t="s">
        <v>591</v>
      </c>
      <c r="B45" s="50" t="s">
        <v>582</v>
      </c>
      <c r="C45" s="50" t="s">
        <v>592</v>
      </c>
      <c r="D45" s="49" t="s">
        <v>593</v>
      </c>
      <c r="E45" s="49" t="s">
        <v>594</v>
      </c>
      <c r="F45" s="49" t="s">
        <v>595</v>
      </c>
      <c r="G45" s="49" t="s">
        <v>596</v>
      </c>
      <c r="H45" s="49" t="s">
        <v>597</v>
      </c>
      <c r="I45" s="49" t="s">
        <v>598</v>
      </c>
      <c r="J45" s="49" t="s">
        <v>599</v>
      </c>
      <c r="K45" s="50" t="s">
        <v>592</v>
      </c>
      <c r="L45" s="49" t="s">
        <v>1233</v>
      </c>
      <c r="M45" s="49" t="s">
        <v>1234</v>
      </c>
      <c r="N45" s="49" t="s">
        <v>1235</v>
      </c>
      <c r="O45" s="49" t="s">
        <v>1236</v>
      </c>
      <c r="Q45" s="56" t="s">
        <v>1110</v>
      </c>
      <c r="R45" s="57" t="s">
        <v>1237</v>
      </c>
      <c r="S45" s="58" t="s">
        <v>1238</v>
      </c>
    </row>
    <row r="46" customFormat="false" ht="77.25" hidden="false" customHeight="true" outlineLevel="0" collapsed="false">
      <c r="A46" s="47" t="s">
        <v>600</v>
      </c>
      <c r="B46" s="51" t="s">
        <v>601</v>
      </c>
      <c r="C46" s="51" t="s">
        <v>602</v>
      </c>
      <c r="D46" s="49" t="s">
        <v>603</v>
      </c>
      <c r="E46" s="49" t="s">
        <v>604</v>
      </c>
      <c r="F46" s="49" t="s">
        <v>605</v>
      </c>
      <c r="G46" s="49" t="s">
        <v>606</v>
      </c>
      <c r="H46" s="49" t="s">
        <v>607</v>
      </c>
      <c r="I46" s="49" t="s">
        <v>608</v>
      </c>
      <c r="J46" s="49" t="s">
        <v>609</v>
      </c>
      <c r="K46" s="50" t="s">
        <v>602</v>
      </c>
      <c r="L46" s="49" t="s">
        <v>1239</v>
      </c>
      <c r="M46" s="49" t="s">
        <v>1240</v>
      </c>
      <c r="N46" s="49" t="s">
        <v>1241</v>
      </c>
      <c r="O46" s="49" t="s">
        <v>1242</v>
      </c>
      <c r="Q46" s="56" t="s">
        <v>1243</v>
      </c>
      <c r="R46" s="57" t="s">
        <v>1244</v>
      </c>
      <c r="S46" s="58" t="s">
        <v>1245</v>
      </c>
    </row>
    <row r="47" customFormat="false" ht="93" hidden="false" customHeight="true" outlineLevel="0" collapsed="false">
      <c r="A47" s="47" t="s">
        <v>610</v>
      </c>
      <c r="B47" s="51" t="s">
        <v>601</v>
      </c>
      <c r="C47" s="51" t="s">
        <v>611</v>
      </c>
      <c r="D47" s="49" t="s">
        <v>612</v>
      </c>
      <c r="E47" s="49" t="s">
        <v>613</v>
      </c>
      <c r="F47" s="49" t="s">
        <v>614</v>
      </c>
      <c r="G47" s="49" t="s">
        <v>615</v>
      </c>
      <c r="H47" s="49" t="s">
        <v>616</v>
      </c>
      <c r="I47" s="49" t="s">
        <v>617</v>
      </c>
      <c r="J47" s="49" t="s">
        <v>618</v>
      </c>
      <c r="K47" s="50" t="s">
        <v>611</v>
      </c>
      <c r="L47" s="49" t="s">
        <v>1246</v>
      </c>
      <c r="M47" s="49" t="s">
        <v>1247</v>
      </c>
      <c r="N47" s="49" t="s">
        <v>1248</v>
      </c>
      <c r="O47" s="49" t="s">
        <v>1249</v>
      </c>
      <c r="Q47" s="56" t="s">
        <v>1243</v>
      </c>
      <c r="R47" s="57" t="s">
        <v>1250</v>
      </c>
      <c r="S47" s="58" t="s">
        <v>1251</v>
      </c>
    </row>
    <row r="48" customFormat="false" ht="77.25" hidden="false" customHeight="true" outlineLevel="0" collapsed="false">
      <c r="A48" s="47" t="s">
        <v>619</v>
      </c>
      <c r="B48" s="51" t="s">
        <v>620</v>
      </c>
      <c r="C48" s="51" t="s">
        <v>621</v>
      </c>
      <c r="D48" s="49" t="s">
        <v>622</v>
      </c>
      <c r="E48" s="49" t="s">
        <v>623</v>
      </c>
      <c r="F48" s="49" t="s">
        <v>624</v>
      </c>
      <c r="G48" s="49" t="s">
        <v>625</v>
      </c>
      <c r="H48" s="49" t="s">
        <v>626</v>
      </c>
      <c r="I48" s="49" t="s">
        <v>627</v>
      </c>
      <c r="J48" s="49" t="s">
        <v>628</v>
      </c>
      <c r="K48" s="50" t="s">
        <v>621</v>
      </c>
      <c r="L48" s="49" t="s">
        <v>1252</v>
      </c>
      <c r="M48" s="49" t="s">
        <v>1253</v>
      </c>
      <c r="N48" s="49" t="s">
        <v>1254</v>
      </c>
      <c r="O48" s="49" t="s">
        <v>1255</v>
      </c>
      <c r="Q48" s="56" t="s">
        <v>1243</v>
      </c>
      <c r="R48" s="57" t="s">
        <v>1256</v>
      </c>
      <c r="S48" s="58" t="s">
        <v>1257</v>
      </c>
    </row>
    <row r="49" customFormat="false" ht="93" hidden="false" customHeight="true" outlineLevel="0" collapsed="false">
      <c r="A49" s="47" t="s">
        <v>629</v>
      </c>
      <c r="B49" s="51" t="s">
        <v>620</v>
      </c>
      <c r="C49" s="51" t="s">
        <v>630</v>
      </c>
      <c r="D49" s="49" t="s">
        <v>631</v>
      </c>
      <c r="E49" s="49" t="s">
        <v>632</v>
      </c>
      <c r="F49" s="49" t="s">
        <v>633</v>
      </c>
      <c r="G49" s="49" t="s">
        <v>634</v>
      </c>
      <c r="H49" s="49" t="s">
        <v>635</v>
      </c>
      <c r="I49" s="49" t="s">
        <v>636</v>
      </c>
      <c r="J49" s="49" t="s">
        <v>637</v>
      </c>
      <c r="K49" s="50" t="s">
        <v>630</v>
      </c>
      <c r="L49" s="49" t="s">
        <v>1258</v>
      </c>
      <c r="M49" s="49" t="s">
        <v>1259</v>
      </c>
      <c r="N49" s="49" t="s">
        <v>1260</v>
      </c>
      <c r="O49" s="49" t="s">
        <v>1261</v>
      </c>
      <c r="Q49" s="56" t="s">
        <v>1243</v>
      </c>
      <c r="R49" s="57" t="s">
        <v>1262</v>
      </c>
      <c r="S49" s="58" t="s">
        <v>1263</v>
      </c>
    </row>
    <row r="50" customFormat="false" ht="77.25" hidden="false" customHeight="true" outlineLevel="0" collapsed="false">
      <c r="A50" s="47" t="s">
        <v>638</v>
      </c>
      <c r="B50" s="51" t="s">
        <v>620</v>
      </c>
      <c r="C50" s="51" t="s">
        <v>639</v>
      </c>
      <c r="D50" s="49" t="s">
        <v>640</v>
      </c>
      <c r="E50" s="49" t="s">
        <v>641</v>
      </c>
      <c r="F50" s="49" t="s">
        <v>642</v>
      </c>
      <c r="G50" s="49" t="s">
        <v>643</v>
      </c>
      <c r="H50" s="49" t="s">
        <v>644</v>
      </c>
      <c r="I50" s="49" t="s">
        <v>645</v>
      </c>
      <c r="J50" s="49" t="s">
        <v>646</v>
      </c>
      <c r="K50" s="50" t="s">
        <v>639</v>
      </c>
      <c r="L50" s="49" t="s">
        <v>1264</v>
      </c>
      <c r="M50" s="49" t="s">
        <v>1265</v>
      </c>
      <c r="N50" s="49" t="s">
        <v>1266</v>
      </c>
      <c r="O50" s="49" t="s">
        <v>1267</v>
      </c>
      <c r="Q50" s="56" t="s">
        <v>1243</v>
      </c>
      <c r="R50" s="57" t="s">
        <v>1268</v>
      </c>
      <c r="S50" s="58" t="s">
        <v>1269</v>
      </c>
    </row>
    <row r="51" customFormat="false" ht="77.25" hidden="false" customHeight="true" outlineLevel="0" collapsed="false">
      <c r="A51" s="47" t="s">
        <v>647</v>
      </c>
      <c r="B51" s="51" t="s">
        <v>620</v>
      </c>
      <c r="C51" s="51" t="s">
        <v>648</v>
      </c>
      <c r="D51" s="49" t="s">
        <v>649</v>
      </c>
      <c r="E51" s="49" t="s">
        <v>650</v>
      </c>
      <c r="F51" s="49" t="s">
        <v>651</v>
      </c>
      <c r="G51" s="49" t="s">
        <v>652</v>
      </c>
      <c r="H51" s="49" t="s">
        <v>653</v>
      </c>
      <c r="I51" s="49" t="s">
        <v>654</v>
      </c>
      <c r="J51" s="49" t="s">
        <v>655</v>
      </c>
      <c r="K51" s="50" t="s">
        <v>648</v>
      </c>
      <c r="L51" s="49" t="s">
        <v>1270</v>
      </c>
      <c r="M51" s="49" t="s">
        <v>1271</v>
      </c>
      <c r="N51" s="49" t="s">
        <v>1272</v>
      </c>
      <c r="O51" s="49" t="s">
        <v>1273</v>
      </c>
      <c r="Q51" s="56" t="s">
        <v>1243</v>
      </c>
      <c r="R51" s="57" t="s">
        <v>1274</v>
      </c>
      <c r="S51" s="58" t="s">
        <v>1275</v>
      </c>
    </row>
    <row r="52" customFormat="false" ht="139.5" hidden="false" customHeight="true" outlineLevel="0" collapsed="false">
      <c r="A52" s="47" t="s">
        <v>656</v>
      </c>
      <c r="B52" s="51" t="s">
        <v>620</v>
      </c>
      <c r="C52" s="51" t="s">
        <v>657</v>
      </c>
      <c r="D52" s="49" t="s">
        <v>556</v>
      </c>
      <c r="E52" s="49" t="s">
        <v>658</v>
      </c>
      <c r="F52" s="49" t="s">
        <v>659</v>
      </c>
      <c r="G52" s="49" t="s">
        <v>660</v>
      </c>
      <c r="H52" s="49" t="s">
        <v>661</v>
      </c>
      <c r="I52" s="49" t="s">
        <v>662</v>
      </c>
      <c r="J52" s="49" t="s">
        <v>663</v>
      </c>
      <c r="K52" s="50" t="s">
        <v>657</v>
      </c>
      <c r="L52" s="49" t="s">
        <v>1276</v>
      </c>
      <c r="M52" s="49" t="s">
        <v>1277</v>
      </c>
      <c r="N52" s="49" t="s">
        <v>1278</v>
      </c>
      <c r="O52" s="49" t="s">
        <v>1279</v>
      </c>
      <c r="Q52" s="56" t="s">
        <v>1243</v>
      </c>
      <c r="R52" s="57" t="s">
        <v>1280</v>
      </c>
      <c r="S52" s="58" t="s">
        <v>1281</v>
      </c>
    </row>
    <row r="53" customFormat="false" ht="108" hidden="false" customHeight="true" outlineLevel="0" collapsed="false">
      <c r="A53" s="47" t="s">
        <v>664</v>
      </c>
      <c r="B53" s="51" t="s">
        <v>665</v>
      </c>
      <c r="C53" s="51" t="s">
        <v>666</v>
      </c>
      <c r="D53" s="49" t="s">
        <v>667</v>
      </c>
      <c r="E53" s="49" t="s">
        <v>668</v>
      </c>
      <c r="F53" s="49" t="s">
        <v>669</v>
      </c>
      <c r="G53" s="49" t="s">
        <v>670</v>
      </c>
      <c r="H53" s="49" t="s">
        <v>671</v>
      </c>
      <c r="I53" s="49" t="s">
        <v>672</v>
      </c>
      <c r="J53" s="49" t="s">
        <v>673</v>
      </c>
      <c r="K53" s="50" t="s">
        <v>666</v>
      </c>
      <c r="L53" s="49" t="s">
        <v>1282</v>
      </c>
      <c r="M53" s="49" t="s">
        <v>1283</v>
      </c>
      <c r="N53" s="49" t="s">
        <v>1284</v>
      </c>
      <c r="O53" s="49" t="s">
        <v>1285</v>
      </c>
      <c r="Q53" s="56" t="s">
        <v>1243</v>
      </c>
      <c r="R53" s="57" t="s">
        <v>1286</v>
      </c>
      <c r="S53" s="58" t="s">
        <v>1287</v>
      </c>
    </row>
    <row r="54" customFormat="false" ht="77.25" hidden="false" customHeight="true" outlineLevel="0" collapsed="false">
      <c r="A54" s="47" t="s">
        <v>674</v>
      </c>
      <c r="B54" s="51" t="s">
        <v>665</v>
      </c>
      <c r="C54" s="51" t="s">
        <v>675</v>
      </c>
      <c r="D54" s="49" t="s">
        <v>676</v>
      </c>
      <c r="E54" s="49" t="s">
        <v>677</v>
      </c>
      <c r="F54" s="49" t="s">
        <v>678</v>
      </c>
      <c r="G54" s="49" t="s">
        <v>679</v>
      </c>
      <c r="H54" s="49" t="s">
        <v>680</v>
      </c>
      <c r="I54" s="49" t="s">
        <v>681</v>
      </c>
      <c r="J54" s="49" t="s">
        <v>682</v>
      </c>
      <c r="K54" s="50" t="s">
        <v>675</v>
      </c>
      <c r="L54" s="49" t="s">
        <v>1288</v>
      </c>
      <c r="M54" s="49" t="s">
        <v>1289</v>
      </c>
      <c r="N54" s="49" t="s">
        <v>1290</v>
      </c>
      <c r="O54" s="49" t="s">
        <v>1291</v>
      </c>
      <c r="Q54" s="56" t="s">
        <v>1243</v>
      </c>
      <c r="R54" s="57" t="s">
        <v>1292</v>
      </c>
      <c r="S54" s="58" t="s">
        <v>1293</v>
      </c>
    </row>
    <row r="55" customFormat="false" ht="77.25" hidden="false" customHeight="true" outlineLevel="0" collapsed="false">
      <c r="A55" s="47" t="s">
        <v>683</v>
      </c>
      <c r="B55" s="51" t="s">
        <v>684</v>
      </c>
      <c r="C55" s="51" t="s">
        <v>685</v>
      </c>
      <c r="D55" s="49" t="s">
        <v>686</v>
      </c>
      <c r="E55" s="49" t="s">
        <v>687</v>
      </c>
      <c r="F55" s="49" t="s">
        <v>688</v>
      </c>
      <c r="G55" s="49" t="s">
        <v>689</v>
      </c>
      <c r="H55" s="49" t="s">
        <v>690</v>
      </c>
      <c r="I55" s="49" t="s">
        <v>691</v>
      </c>
      <c r="J55" s="49" t="s">
        <v>692</v>
      </c>
      <c r="K55" s="50" t="s">
        <v>685</v>
      </c>
      <c r="L55" s="49" t="s">
        <v>1294</v>
      </c>
      <c r="M55" s="49" t="s">
        <v>1295</v>
      </c>
      <c r="N55" s="49" t="s">
        <v>1296</v>
      </c>
      <c r="O55" s="49" t="s">
        <v>1297</v>
      </c>
      <c r="Q55" s="56" t="s">
        <v>1243</v>
      </c>
      <c r="R55" s="57" t="s">
        <v>1298</v>
      </c>
      <c r="S55" s="58" t="s">
        <v>1299</v>
      </c>
    </row>
    <row r="56" customFormat="false" ht="61.5" hidden="false" customHeight="true" outlineLevel="0" collapsed="false">
      <c r="A56" s="47" t="s">
        <v>693</v>
      </c>
      <c r="B56" s="51" t="s">
        <v>684</v>
      </c>
      <c r="C56" s="51" t="s">
        <v>694</v>
      </c>
      <c r="D56" s="49" t="s">
        <v>695</v>
      </c>
      <c r="E56" s="49" t="s">
        <v>696</v>
      </c>
      <c r="F56" s="49" t="s">
        <v>697</v>
      </c>
      <c r="G56" s="49" t="s">
        <v>698</v>
      </c>
      <c r="H56" s="49" t="s">
        <v>694</v>
      </c>
      <c r="I56" s="49" t="s">
        <v>699</v>
      </c>
      <c r="J56" s="49" t="s">
        <v>700</v>
      </c>
      <c r="K56" s="50" t="s">
        <v>694</v>
      </c>
      <c r="L56" s="49" t="s">
        <v>1300</v>
      </c>
      <c r="M56" s="49" t="s">
        <v>1301</v>
      </c>
      <c r="N56" s="49" t="s">
        <v>1302</v>
      </c>
      <c r="O56" s="49" t="s">
        <v>1303</v>
      </c>
      <c r="Q56" s="56" t="s">
        <v>1243</v>
      </c>
      <c r="R56" s="57" t="s">
        <v>1304</v>
      </c>
      <c r="S56" s="58" t="s">
        <v>1305</v>
      </c>
    </row>
    <row r="57" customFormat="false" ht="77.25" hidden="false" customHeight="true" outlineLevel="0" collapsed="false">
      <c r="A57" s="47" t="s">
        <v>701</v>
      </c>
      <c r="B57" s="51" t="s">
        <v>702</v>
      </c>
      <c r="C57" s="51" t="s">
        <v>703</v>
      </c>
      <c r="D57" s="49" t="s">
        <v>704</v>
      </c>
      <c r="E57" s="49" t="s">
        <v>705</v>
      </c>
      <c r="F57" s="49" t="s">
        <v>706</v>
      </c>
      <c r="G57" s="49" t="s">
        <v>707</v>
      </c>
      <c r="H57" s="49" t="s">
        <v>708</v>
      </c>
      <c r="I57" s="49" t="s">
        <v>709</v>
      </c>
      <c r="J57" s="49" t="s">
        <v>710</v>
      </c>
      <c r="K57" s="50" t="s">
        <v>703</v>
      </c>
      <c r="L57" s="49" t="s">
        <v>1306</v>
      </c>
      <c r="M57" s="49" t="s">
        <v>1307</v>
      </c>
      <c r="N57" s="49" t="s">
        <v>1308</v>
      </c>
      <c r="O57" s="49" t="s">
        <v>1309</v>
      </c>
      <c r="Q57" s="56" t="s">
        <v>1243</v>
      </c>
      <c r="R57" s="57" t="s">
        <v>1310</v>
      </c>
      <c r="S57" s="58" t="s">
        <v>1311</v>
      </c>
    </row>
    <row r="58" customFormat="false" ht="93" hidden="false" customHeight="true" outlineLevel="0" collapsed="false">
      <c r="A58" s="47" t="s">
        <v>711</v>
      </c>
      <c r="B58" s="51" t="s">
        <v>712</v>
      </c>
      <c r="C58" s="51" t="s">
        <v>713</v>
      </c>
      <c r="D58" s="49" t="s">
        <v>714</v>
      </c>
      <c r="E58" s="49" t="s">
        <v>715</v>
      </c>
      <c r="F58" s="49" t="s">
        <v>716</v>
      </c>
      <c r="G58" s="49" t="s">
        <v>717</v>
      </c>
      <c r="H58" s="49" t="s">
        <v>718</v>
      </c>
      <c r="I58" s="49" t="s">
        <v>719</v>
      </c>
      <c r="J58" s="49" t="s">
        <v>720</v>
      </c>
      <c r="K58" s="50" t="s">
        <v>713</v>
      </c>
      <c r="L58" s="49" t="s">
        <v>1312</v>
      </c>
      <c r="M58" s="49" t="s">
        <v>1313</v>
      </c>
      <c r="N58" s="49" t="s">
        <v>1314</v>
      </c>
      <c r="O58" s="49" t="s">
        <v>1315</v>
      </c>
      <c r="Q58" s="56" t="s">
        <v>1243</v>
      </c>
      <c r="R58" s="57" t="s">
        <v>1316</v>
      </c>
      <c r="S58" s="58" t="s">
        <v>1317</v>
      </c>
    </row>
    <row r="59" customFormat="false" ht="61.5" hidden="false" customHeight="true" outlineLevel="0" collapsed="false">
      <c r="A59" s="47" t="s">
        <v>721</v>
      </c>
      <c r="B59" s="51" t="s">
        <v>722</v>
      </c>
      <c r="C59" s="51" t="s">
        <v>723</v>
      </c>
      <c r="D59" s="49" t="s">
        <v>724</v>
      </c>
      <c r="E59" s="49" t="s">
        <v>725</v>
      </c>
      <c r="F59" s="49" t="s">
        <v>726</v>
      </c>
      <c r="G59" s="49" t="s">
        <v>727</v>
      </c>
      <c r="H59" s="49" t="s">
        <v>723</v>
      </c>
      <c r="I59" s="49" t="s">
        <v>728</v>
      </c>
      <c r="J59" s="49" t="s">
        <v>729</v>
      </c>
      <c r="K59" s="50" t="s">
        <v>723</v>
      </c>
      <c r="L59" s="49" t="s">
        <v>1318</v>
      </c>
      <c r="M59" s="49" t="s">
        <v>1319</v>
      </c>
      <c r="N59" s="49" t="s">
        <v>1320</v>
      </c>
      <c r="O59" s="49" t="s">
        <v>1321</v>
      </c>
      <c r="Q59" s="56" t="s">
        <v>1243</v>
      </c>
      <c r="R59" s="57" t="s">
        <v>1322</v>
      </c>
      <c r="S59" s="58" t="s">
        <v>1323</v>
      </c>
    </row>
    <row r="60" customFormat="false" ht="108" hidden="false" customHeight="true" outlineLevel="0" collapsed="false">
      <c r="A60" s="47" t="s">
        <v>730</v>
      </c>
      <c r="B60" s="52" t="s">
        <v>731</v>
      </c>
      <c r="C60" s="52" t="s">
        <v>732</v>
      </c>
      <c r="D60" s="49" t="s">
        <v>733</v>
      </c>
      <c r="E60" s="49" t="s">
        <v>734</v>
      </c>
      <c r="F60" s="49" t="s">
        <v>735</v>
      </c>
      <c r="G60" s="49" t="s">
        <v>736</v>
      </c>
      <c r="H60" s="49" t="s">
        <v>737</v>
      </c>
      <c r="I60" s="49" t="s">
        <v>738</v>
      </c>
      <c r="J60" s="49" t="s">
        <v>739</v>
      </c>
      <c r="K60" s="50" t="s">
        <v>732</v>
      </c>
      <c r="L60" s="49" t="s">
        <v>1324</v>
      </c>
      <c r="M60" s="49" t="s">
        <v>1325</v>
      </c>
      <c r="N60" s="49" t="s">
        <v>1326</v>
      </c>
      <c r="O60" s="49" t="s">
        <v>1327</v>
      </c>
      <c r="Q60" s="56" t="s">
        <v>1328</v>
      </c>
      <c r="R60" s="57" t="s">
        <v>1329</v>
      </c>
      <c r="S60" s="58" t="s">
        <v>1330</v>
      </c>
    </row>
    <row r="61" customFormat="false" ht="93" hidden="false" customHeight="true" outlineLevel="0" collapsed="false">
      <c r="A61" s="47" t="s">
        <v>740</v>
      </c>
      <c r="B61" s="52" t="s">
        <v>731</v>
      </c>
      <c r="C61" s="52" t="s">
        <v>741</v>
      </c>
      <c r="D61" s="49" t="s">
        <v>742</v>
      </c>
      <c r="E61" s="49" t="s">
        <v>743</v>
      </c>
      <c r="F61" s="49" t="s">
        <v>744</v>
      </c>
      <c r="G61" s="49" t="s">
        <v>745</v>
      </c>
      <c r="H61" s="49" t="s">
        <v>746</v>
      </c>
      <c r="I61" s="49" t="s">
        <v>747</v>
      </c>
      <c r="J61" s="49" t="s">
        <v>748</v>
      </c>
      <c r="K61" s="50" t="s">
        <v>741</v>
      </c>
      <c r="L61" s="49" t="s">
        <v>1331</v>
      </c>
      <c r="M61" s="49" t="s">
        <v>1332</v>
      </c>
      <c r="N61" s="49" t="s">
        <v>1333</v>
      </c>
      <c r="O61" s="49" t="s">
        <v>1334</v>
      </c>
      <c r="Q61" s="56" t="s">
        <v>1328</v>
      </c>
      <c r="R61" s="57" t="s">
        <v>1335</v>
      </c>
      <c r="S61" s="58" t="s">
        <v>1336</v>
      </c>
    </row>
    <row r="62" customFormat="false" ht="139.5" hidden="false" customHeight="true" outlineLevel="0" collapsed="false">
      <c r="A62" s="47" t="s">
        <v>749</v>
      </c>
      <c r="B62" s="52" t="s">
        <v>750</v>
      </c>
      <c r="C62" s="52" t="s">
        <v>751</v>
      </c>
      <c r="D62" s="49" t="s">
        <v>752</v>
      </c>
      <c r="E62" s="49" t="s">
        <v>753</v>
      </c>
      <c r="F62" s="49" t="s">
        <v>754</v>
      </c>
      <c r="G62" s="49" t="s">
        <v>755</v>
      </c>
      <c r="H62" s="49" t="s">
        <v>756</v>
      </c>
      <c r="I62" s="49" t="s">
        <v>757</v>
      </c>
      <c r="J62" s="49" t="s">
        <v>758</v>
      </c>
      <c r="K62" s="50" t="s">
        <v>751</v>
      </c>
      <c r="L62" s="49" t="s">
        <v>1337</v>
      </c>
      <c r="M62" s="49" t="s">
        <v>1338</v>
      </c>
      <c r="N62" s="49" t="s">
        <v>1339</v>
      </c>
      <c r="O62" s="49" t="s">
        <v>1340</v>
      </c>
      <c r="Q62" s="56" t="s">
        <v>1328</v>
      </c>
      <c r="R62" s="57" t="s">
        <v>1341</v>
      </c>
      <c r="S62" s="58" t="s">
        <v>1342</v>
      </c>
    </row>
    <row r="63" customFormat="false" ht="77.25" hidden="false" customHeight="true" outlineLevel="0" collapsed="false">
      <c r="A63" s="47" t="s">
        <v>759</v>
      </c>
      <c r="B63" s="52" t="s">
        <v>750</v>
      </c>
      <c r="C63" s="52" t="s">
        <v>760</v>
      </c>
      <c r="D63" s="49" t="s">
        <v>761</v>
      </c>
      <c r="E63" s="49" t="s">
        <v>762</v>
      </c>
      <c r="F63" s="49" t="s">
        <v>763</v>
      </c>
      <c r="G63" s="49" t="s">
        <v>764</v>
      </c>
      <c r="H63" s="49" t="s">
        <v>765</v>
      </c>
      <c r="I63" s="49" t="s">
        <v>766</v>
      </c>
      <c r="J63" s="49" t="s">
        <v>767</v>
      </c>
      <c r="K63" s="50" t="s">
        <v>760</v>
      </c>
      <c r="L63" s="49" t="s">
        <v>1343</v>
      </c>
      <c r="M63" s="49" t="s">
        <v>1344</v>
      </c>
      <c r="N63" s="49" t="s">
        <v>1345</v>
      </c>
      <c r="O63" s="49" t="s">
        <v>1346</v>
      </c>
      <c r="Q63" s="56" t="s">
        <v>1328</v>
      </c>
      <c r="R63" s="57" t="s">
        <v>1347</v>
      </c>
      <c r="S63" s="58" t="s">
        <v>1348</v>
      </c>
    </row>
    <row r="64" customFormat="false" ht="93" hidden="false" customHeight="true" outlineLevel="0" collapsed="false">
      <c r="A64" s="47" t="s">
        <v>768</v>
      </c>
      <c r="B64" s="52" t="s">
        <v>769</v>
      </c>
      <c r="C64" s="52" t="s">
        <v>770</v>
      </c>
      <c r="D64" s="49" t="s">
        <v>771</v>
      </c>
      <c r="E64" s="49" t="s">
        <v>772</v>
      </c>
      <c r="F64" s="49" t="s">
        <v>773</v>
      </c>
      <c r="G64" s="49" t="s">
        <v>774</v>
      </c>
      <c r="H64" s="49" t="s">
        <v>775</v>
      </c>
      <c r="I64" s="49" t="s">
        <v>776</v>
      </c>
      <c r="J64" s="49" t="s">
        <v>777</v>
      </c>
      <c r="K64" s="50" t="s">
        <v>770</v>
      </c>
      <c r="L64" s="49" t="s">
        <v>1349</v>
      </c>
      <c r="M64" s="49" t="s">
        <v>1350</v>
      </c>
      <c r="N64" s="49" t="s">
        <v>1351</v>
      </c>
      <c r="O64" s="49" t="s">
        <v>1352</v>
      </c>
      <c r="Q64" s="56" t="s">
        <v>1328</v>
      </c>
      <c r="R64" s="57" t="s">
        <v>1353</v>
      </c>
      <c r="S64" s="58" t="s">
        <v>1354</v>
      </c>
    </row>
    <row r="65" customFormat="false" ht="77.25" hidden="false" customHeight="true" outlineLevel="0" collapsed="false">
      <c r="A65" s="47" t="s">
        <v>778</v>
      </c>
      <c r="B65" s="52" t="s">
        <v>769</v>
      </c>
      <c r="C65" s="52" t="s">
        <v>779</v>
      </c>
      <c r="D65" s="49" t="s">
        <v>780</v>
      </c>
      <c r="E65" s="49" t="s">
        <v>781</v>
      </c>
      <c r="F65" s="49" t="s">
        <v>782</v>
      </c>
      <c r="G65" s="49" t="s">
        <v>783</v>
      </c>
      <c r="H65" s="49" t="s">
        <v>784</v>
      </c>
      <c r="I65" s="49" t="s">
        <v>785</v>
      </c>
      <c r="J65" s="49" t="s">
        <v>786</v>
      </c>
      <c r="K65" s="50" t="s">
        <v>779</v>
      </c>
      <c r="L65" s="49" t="s">
        <v>1355</v>
      </c>
      <c r="M65" s="49" t="s">
        <v>1356</v>
      </c>
      <c r="N65" s="49" t="s">
        <v>1357</v>
      </c>
      <c r="O65" s="49" t="s">
        <v>1358</v>
      </c>
      <c r="Q65" s="56" t="s">
        <v>1328</v>
      </c>
      <c r="R65" s="57" t="s">
        <v>1359</v>
      </c>
      <c r="S65" s="58" t="s">
        <v>1360</v>
      </c>
    </row>
    <row r="66" customFormat="false" ht="61.5" hidden="false" customHeight="true" outlineLevel="0" collapsed="false">
      <c r="A66" s="47" t="s">
        <v>787</v>
      </c>
      <c r="B66" s="52" t="s">
        <v>769</v>
      </c>
      <c r="C66" s="52" t="s">
        <v>788</v>
      </c>
      <c r="D66" s="49" t="s">
        <v>789</v>
      </c>
      <c r="E66" s="49" t="s">
        <v>790</v>
      </c>
      <c r="F66" s="49" t="s">
        <v>791</v>
      </c>
      <c r="G66" s="49" t="s">
        <v>792</v>
      </c>
      <c r="H66" s="49" t="s">
        <v>793</v>
      </c>
      <c r="I66" s="49" t="s">
        <v>794</v>
      </c>
      <c r="J66" s="49" t="s">
        <v>795</v>
      </c>
      <c r="K66" s="50" t="s">
        <v>788</v>
      </c>
      <c r="L66" s="49" t="s">
        <v>1361</v>
      </c>
      <c r="M66" s="49" t="s">
        <v>1362</v>
      </c>
      <c r="N66" s="49" t="s">
        <v>1363</v>
      </c>
      <c r="O66" s="49" t="s">
        <v>1364</v>
      </c>
      <c r="Q66" s="56" t="s">
        <v>1328</v>
      </c>
      <c r="R66" s="57" t="s">
        <v>1365</v>
      </c>
      <c r="S66" s="58" t="s">
        <v>1366</v>
      </c>
    </row>
    <row r="67" customFormat="false" ht="93" hidden="false" customHeight="true" outlineLevel="0" collapsed="false">
      <c r="A67" s="47" t="s">
        <v>796</v>
      </c>
      <c r="B67" s="52" t="s">
        <v>769</v>
      </c>
      <c r="C67" s="52" t="s">
        <v>797</v>
      </c>
      <c r="D67" s="49" t="s">
        <v>798</v>
      </c>
      <c r="E67" s="49" t="s">
        <v>799</v>
      </c>
      <c r="F67" s="49" t="s">
        <v>800</v>
      </c>
      <c r="G67" s="49" t="s">
        <v>801</v>
      </c>
      <c r="H67" s="49" t="s">
        <v>802</v>
      </c>
      <c r="I67" s="49" t="s">
        <v>803</v>
      </c>
      <c r="J67" s="49" t="s">
        <v>804</v>
      </c>
      <c r="K67" s="50" t="s">
        <v>797</v>
      </c>
      <c r="L67" s="49" t="s">
        <v>1367</v>
      </c>
      <c r="M67" s="49" t="s">
        <v>1368</v>
      </c>
      <c r="N67" s="49" t="s">
        <v>1369</v>
      </c>
      <c r="O67" s="49" t="s">
        <v>1370</v>
      </c>
      <c r="Q67" s="56" t="s">
        <v>1328</v>
      </c>
      <c r="R67" s="57" t="s">
        <v>1371</v>
      </c>
      <c r="S67" s="58" t="s">
        <v>1372</v>
      </c>
    </row>
    <row r="68" customFormat="false" ht="93" hidden="false" customHeight="true" outlineLevel="0" collapsed="false">
      <c r="A68" s="47" t="s">
        <v>805</v>
      </c>
      <c r="B68" s="52" t="s">
        <v>769</v>
      </c>
      <c r="C68" s="52" t="s">
        <v>806</v>
      </c>
      <c r="D68" s="49" t="s">
        <v>807</v>
      </c>
      <c r="E68" s="49" t="s">
        <v>808</v>
      </c>
      <c r="F68" s="49" t="s">
        <v>809</v>
      </c>
      <c r="G68" s="49" t="s">
        <v>810</v>
      </c>
      <c r="H68" s="49" t="s">
        <v>811</v>
      </c>
      <c r="I68" s="49" t="s">
        <v>812</v>
      </c>
      <c r="J68" s="49" t="s">
        <v>813</v>
      </c>
      <c r="K68" s="50" t="s">
        <v>806</v>
      </c>
      <c r="L68" s="49" t="s">
        <v>1373</v>
      </c>
      <c r="M68" s="49" t="s">
        <v>1374</v>
      </c>
      <c r="N68" s="49" t="s">
        <v>1375</v>
      </c>
      <c r="O68" s="49" t="s">
        <v>1376</v>
      </c>
      <c r="Q68" s="56" t="s">
        <v>1328</v>
      </c>
      <c r="R68" s="57" t="s">
        <v>1377</v>
      </c>
      <c r="S68" s="58" t="s">
        <v>1378</v>
      </c>
    </row>
    <row r="69" customFormat="false" ht="61.5" hidden="false" customHeight="true" outlineLevel="0" collapsed="false">
      <c r="A69" s="47" t="s">
        <v>814</v>
      </c>
      <c r="B69" s="52" t="s">
        <v>815</v>
      </c>
      <c r="C69" s="52" t="s">
        <v>816</v>
      </c>
      <c r="D69" s="49" t="s">
        <v>817</v>
      </c>
      <c r="E69" s="49" t="s">
        <v>818</v>
      </c>
      <c r="F69" s="49" t="s">
        <v>819</v>
      </c>
      <c r="G69" s="49" t="s">
        <v>820</v>
      </c>
      <c r="H69" s="49" t="s">
        <v>821</v>
      </c>
      <c r="I69" s="49" t="s">
        <v>822</v>
      </c>
      <c r="J69" s="49" t="s">
        <v>823</v>
      </c>
      <c r="K69" s="50" t="s">
        <v>816</v>
      </c>
      <c r="L69" s="49" t="s">
        <v>1379</v>
      </c>
      <c r="M69" s="49" t="s">
        <v>1380</v>
      </c>
      <c r="N69" s="49" t="s">
        <v>1381</v>
      </c>
      <c r="O69" s="49" t="s">
        <v>1382</v>
      </c>
      <c r="Q69" s="56" t="s">
        <v>1328</v>
      </c>
      <c r="R69" s="57" t="s">
        <v>1383</v>
      </c>
      <c r="S69" s="58" t="s">
        <v>1384</v>
      </c>
    </row>
    <row r="70" customFormat="false" ht="61.5" hidden="false" customHeight="true" outlineLevel="0" collapsed="false">
      <c r="A70" s="47" t="s">
        <v>824</v>
      </c>
      <c r="B70" s="52" t="s">
        <v>815</v>
      </c>
      <c r="C70" s="52" t="s">
        <v>825</v>
      </c>
      <c r="D70" s="49" t="s">
        <v>826</v>
      </c>
      <c r="E70" s="49" t="s">
        <v>827</v>
      </c>
      <c r="F70" s="49" t="s">
        <v>828</v>
      </c>
      <c r="G70" s="49" t="s">
        <v>829</v>
      </c>
      <c r="H70" s="49" t="s">
        <v>830</v>
      </c>
      <c r="I70" s="49" t="s">
        <v>831</v>
      </c>
      <c r="J70" s="49" t="s">
        <v>832</v>
      </c>
      <c r="K70" s="50" t="s">
        <v>825</v>
      </c>
      <c r="L70" s="49" t="s">
        <v>1385</v>
      </c>
      <c r="M70" s="49" t="s">
        <v>1386</v>
      </c>
      <c r="N70" s="49" t="s">
        <v>1387</v>
      </c>
      <c r="O70" s="49" t="s">
        <v>1388</v>
      </c>
      <c r="Q70" s="56" t="s">
        <v>1328</v>
      </c>
      <c r="R70" s="57" t="s">
        <v>1389</v>
      </c>
      <c r="S70" s="58" t="s">
        <v>1390</v>
      </c>
    </row>
    <row r="71" customFormat="false" ht="77.25" hidden="false" customHeight="true" outlineLevel="0" collapsed="false">
      <c r="A71" s="47" t="s">
        <v>833</v>
      </c>
      <c r="B71" s="52" t="s">
        <v>815</v>
      </c>
      <c r="C71" s="52" t="s">
        <v>834</v>
      </c>
      <c r="D71" s="49" t="s">
        <v>835</v>
      </c>
      <c r="E71" s="49" t="s">
        <v>836</v>
      </c>
      <c r="F71" s="49" t="s">
        <v>837</v>
      </c>
      <c r="G71" s="49" t="s">
        <v>838</v>
      </c>
      <c r="H71" s="49" t="s">
        <v>839</v>
      </c>
      <c r="I71" s="49" t="s">
        <v>840</v>
      </c>
      <c r="J71" s="49" t="s">
        <v>841</v>
      </c>
      <c r="K71" s="50" t="s">
        <v>834</v>
      </c>
      <c r="L71" s="49" t="s">
        <v>1391</v>
      </c>
      <c r="M71" s="49" t="s">
        <v>1392</v>
      </c>
      <c r="N71" s="49" t="s">
        <v>1393</v>
      </c>
      <c r="O71" s="49" t="s">
        <v>1394</v>
      </c>
      <c r="Q71" s="56" t="s">
        <v>1328</v>
      </c>
      <c r="R71" s="57" t="s">
        <v>1395</v>
      </c>
      <c r="S71" s="58" t="s">
        <v>1396</v>
      </c>
    </row>
    <row r="72" customFormat="false" ht="93" hidden="false" customHeight="true" outlineLevel="0" collapsed="false">
      <c r="A72" s="47" t="s">
        <v>842</v>
      </c>
      <c r="B72" s="52" t="s">
        <v>843</v>
      </c>
      <c r="C72" s="52" t="s">
        <v>844</v>
      </c>
      <c r="D72" s="49" t="s">
        <v>845</v>
      </c>
      <c r="E72" s="49" t="s">
        <v>846</v>
      </c>
      <c r="F72" s="49" t="s">
        <v>847</v>
      </c>
      <c r="G72" s="49" t="s">
        <v>848</v>
      </c>
      <c r="H72" s="49" t="s">
        <v>849</v>
      </c>
      <c r="I72" s="49" t="s">
        <v>850</v>
      </c>
      <c r="J72" s="49" t="s">
        <v>851</v>
      </c>
      <c r="K72" s="50" t="s">
        <v>844</v>
      </c>
      <c r="L72" s="49" t="s">
        <v>1397</v>
      </c>
      <c r="M72" s="49" t="s">
        <v>1398</v>
      </c>
      <c r="N72" s="49" t="s">
        <v>1399</v>
      </c>
      <c r="O72" s="49" t="s">
        <v>1400</v>
      </c>
      <c r="Q72" s="56" t="s">
        <v>1328</v>
      </c>
      <c r="R72" s="57" t="s">
        <v>1401</v>
      </c>
      <c r="S72" s="58" t="s">
        <v>1402</v>
      </c>
    </row>
    <row r="73" customFormat="false" ht="108" hidden="false" customHeight="true" outlineLevel="0" collapsed="false">
      <c r="A73" s="47" t="s">
        <v>852</v>
      </c>
      <c r="B73" s="52" t="s">
        <v>843</v>
      </c>
      <c r="C73" s="52" t="s">
        <v>853</v>
      </c>
      <c r="D73" s="49" t="s">
        <v>854</v>
      </c>
      <c r="E73" s="49" t="s">
        <v>855</v>
      </c>
      <c r="F73" s="49" t="s">
        <v>856</v>
      </c>
      <c r="G73" s="49" t="s">
        <v>857</v>
      </c>
      <c r="H73" s="49" t="s">
        <v>858</v>
      </c>
      <c r="I73" s="49" t="s">
        <v>859</v>
      </c>
      <c r="J73" s="49" t="s">
        <v>860</v>
      </c>
      <c r="K73" s="50" t="s">
        <v>853</v>
      </c>
      <c r="L73" s="49" t="s">
        <v>1403</v>
      </c>
      <c r="M73" s="49" t="s">
        <v>1404</v>
      </c>
      <c r="N73" s="49" t="s">
        <v>1405</v>
      </c>
      <c r="O73" s="49" t="s">
        <v>1406</v>
      </c>
      <c r="Q73" s="56" t="s">
        <v>1328</v>
      </c>
      <c r="R73" s="57" t="s">
        <v>1407</v>
      </c>
      <c r="S73" s="58" t="s">
        <v>1408</v>
      </c>
    </row>
    <row r="74" customFormat="false" ht="154.5" hidden="false" customHeight="true" outlineLevel="0" collapsed="false">
      <c r="A74" s="47" t="s">
        <v>861</v>
      </c>
      <c r="B74" s="52" t="s">
        <v>862</v>
      </c>
      <c r="C74" s="52" t="s">
        <v>863</v>
      </c>
      <c r="D74" s="49" t="s">
        <v>864</v>
      </c>
      <c r="E74" s="49" t="s">
        <v>865</v>
      </c>
      <c r="F74" s="49" t="s">
        <v>866</v>
      </c>
      <c r="G74" s="49" t="s">
        <v>867</v>
      </c>
      <c r="H74" s="49" t="s">
        <v>868</v>
      </c>
      <c r="I74" s="49" t="s">
        <v>869</v>
      </c>
      <c r="J74" s="49" t="s">
        <v>870</v>
      </c>
      <c r="K74" s="50" t="s">
        <v>863</v>
      </c>
      <c r="L74" s="49" t="s">
        <v>1409</v>
      </c>
      <c r="M74" s="49" t="s">
        <v>1410</v>
      </c>
      <c r="N74" s="49" t="s">
        <v>1411</v>
      </c>
      <c r="O74" s="49" t="s">
        <v>1412</v>
      </c>
      <c r="Q74" s="56" t="s">
        <v>1328</v>
      </c>
      <c r="R74" s="57" t="s">
        <v>1413</v>
      </c>
      <c r="S74" s="58" t="s">
        <v>1414</v>
      </c>
    </row>
    <row r="75" customFormat="false" ht="93" hidden="false" customHeight="true" outlineLevel="0" collapsed="false">
      <c r="A75" s="47" t="s">
        <v>871</v>
      </c>
      <c r="B75" s="52" t="s">
        <v>862</v>
      </c>
      <c r="C75" s="52" t="s">
        <v>872</v>
      </c>
      <c r="D75" s="49" t="s">
        <v>873</v>
      </c>
      <c r="E75" s="49" t="s">
        <v>874</v>
      </c>
      <c r="F75" s="49" t="s">
        <v>875</v>
      </c>
      <c r="G75" s="49" t="s">
        <v>876</v>
      </c>
      <c r="H75" s="49" t="s">
        <v>877</v>
      </c>
      <c r="I75" s="49" t="s">
        <v>878</v>
      </c>
      <c r="J75" s="49" t="s">
        <v>879</v>
      </c>
      <c r="K75" s="50" t="s">
        <v>872</v>
      </c>
      <c r="L75" s="49" t="s">
        <v>1415</v>
      </c>
      <c r="M75" s="49" t="s">
        <v>1416</v>
      </c>
      <c r="N75" s="49" t="s">
        <v>1417</v>
      </c>
      <c r="O75" s="49" t="s">
        <v>1418</v>
      </c>
      <c r="Q75" s="56" t="s">
        <v>1328</v>
      </c>
      <c r="R75" s="57" t="s">
        <v>1419</v>
      </c>
      <c r="S75" s="58" t="s">
        <v>1420</v>
      </c>
    </row>
    <row r="76" customFormat="false" ht="216.75" hidden="false" customHeight="true" outlineLevel="0" collapsed="false">
      <c r="A76" s="47" t="s">
        <v>880</v>
      </c>
      <c r="B76" s="53" t="s">
        <v>881</v>
      </c>
      <c r="C76" s="53" t="s">
        <v>882</v>
      </c>
      <c r="D76" s="49" t="s">
        <v>883</v>
      </c>
      <c r="E76" s="49" t="s">
        <v>884</v>
      </c>
      <c r="F76" s="49" t="s">
        <v>885</v>
      </c>
      <c r="G76" s="49" t="s">
        <v>886</v>
      </c>
      <c r="H76" s="49" t="s">
        <v>887</v>
      </c>
      <c r="I76" s="49" t="s">
        <v>888</v>
      </c>
      <c r="J76" s="49" t="s">
        <v>889</v>
      </c>
      <c r="K76" s="50" t="s">
        <v>882</v>
      </c>
      <c r="L76" s="49" t="s">
        <v>1421</v>
      </c>
      <c r="M76" s="49" t="s">
        <v>1422</v>
      </c>
      <c r="N76" s="49" t="s">
        <v>1423</v>
      </c>
      <c r="O76" s="49" t="s">
        <v>1424</v>
      </c>
      <c r="Q76" s="56" t="s">
        <v>1425</v>
      </c>
      <c r="R76" s="57" t="s">
        <v>1426</v>
      </c>
      <c r="S76" s="58" t="s">
        <v>1427</v>
      </c>
    </row>
    <row r="77" customFormat="false" ht="77.25" hidden="false" customHeight="true" outlineLevel="0" collapsed="false">
      <c r="A77" s="47" t="s">
        <v>890</v>
      </c>
      <c r="B77" s="53" t="s">
        <v>891</v>
      </c>
      <c r="C77" s="53" t="s">
        <v>892</v>
      </c>
      <c r="D77" s="49" t="s">
        <v>893</v>
      </c>
      <c r="E77" s="49" t="s">
        <v>894</v>
      </c>
      <c r="F77" s="49" t="s">
        <v>895</v>
      </c>
      <c r="G77" s="49" t="s">
        <v>896</v>
      </c>
      <c r="H77" s="49" t="s">
        <v>897</v>
      </c>
      <c r="I77" s="49" t="s">
        <v>898</v>
      </c>
      <c r="J77" s="49" t="s">
        <v>899</v>
      </c>
      <c r="K77" s="50" t="s">
        <v>892</v>
      </c>
      <c r="L77" s="49" t="s">
        <v>1428</v>
      </c>
      <c r="M77" s="49" t="s">
        <v>1429</v>
      </c>
      <c r="N77" s="49" t="s">
        <v>1430</v>
      </c>
      <c r="O77" s="49" t="s">
        <v>1431</v>
      </c>
      <c r="Q77" s="56" t="s">
        <v>1425</v>
      </c>
      <c r="R77" s="57" t="s">
        <v>1432</v>
      </c>
      <c r="S77" s="58" t="s">
        <v>1433</v>
      </c>
    </row>
    <row r="78" customFormat="false" ht="77.25" hidden="false" customHeight="true" outlineLevel="0" collapsed="false">
      <c r="A78" s="47" t="s">
        <v>900</v>
      </c>
      <c r="B78" s="53" t="s">
        <v>891</v>
      </c>
      <c r="C78" s="53" t="s">
        <v>901</v>
      </c>
      <c r="D78" s="49" t="s">
        <v>902</v>
      </c>
      <c r="E78" s="49" t="s">
        <v>903</v>
      </c>
      <c r="F78" s="49" t="s">
        <v>904</v>
      </c>
      <c r="G78" s="49" t="s">
        <v>905</v>
      </c>
      <c r="H78" s="49" t="s">
        <v>906</v>
      </c>
      <c r="I78" s="49" t="s">
        <v>907</v>
      </c>
      <c r="J78" s="49" t="s">
        <v>908</v>
      </c>
      <c r="K78" s="50" t="s">
        <v>901</v>
      </c>
      <c r="L78" s="49" t="s">
        <v>1434</v>
      </c>
      <c r="M78" s="49" t="s">
        <v>1435</v>
      </c>
      <c r="N78" s="49" t="s">
        <v>1436</v>
      </c>
      <c r="O78" s="49" t="s">
        <v>1437</v>
      </c>
      <c r="Q78" s="56" t="s">
        <v>1425</v>
      </c>
      <c r="R78" s="57" t="s">
        <v>1438</v>
      </c>
      <c r="S78" s="58" t="s">
        <v>1439</v>
      </c>
    </row>
    <row r="79" customFormat="false" ht="108" hidden="false" customHeight="true" outlineLevel="0" collapsed="false">
      <c r="A79" s="47" t="s">
        <v>909</v>
      </c>
      <c r="B79" s="53" t="s">
        <v>891</v>
      </c>
      <c r="C79" s="53" t="s">
        <v>910</v>
      </c>
      <c r="D79" s="49" t="s">
        <v>911</v>
      </c>
      <c r="E79" s="49" t="s">
        <v>912</v>
      </c>
      <c r="F79" s="49" t="s">
        <v>913</v>
      </c>
      <c r="G79" s="49" t="s">
        <v>914</v>
      </c>
      <c r="H79" s="49" t="s">
        <v>915</v>
      </c>
      <c r="I79" s="49" t="s">
        <v>916</v>
      </c>
      <c r="J79" s="49" t="s">
        <v>917</v>
      </c>
      <c r="K79" s="50" t="s">
        <v>910</v>
      </c>
      <c r="L79" s="49" t="s">
        <v>1440</v>
      </c>
      <c r="M79" s="49" t="s">
        <v>1441</v>
      </c>
      <c r="N79" s="49" t="s">
        <v>1442</v>
      </c>
      <c r="O79" s="49" t="s">
        <v>1443</v>
      </c>
      <c r="Q79" s="56" t="s">
        <v>1425</v>
      </c>
      <c r="R79" s="57" t="s">
        <v>1444</v>
      </c>
      <c r="S79" s="58" t="s">
        <v>1445</v>
      </c>
    </row>
    <row r="80" customFormat="false" ht="93" hidden="false" customHeight="true" outlineLevel="0" collapsed="false">
      <c r="A80" s="47" t="s">
        <v>918</v>
      </c>
      <c r="B80" s="53" t="s">
        <v>891</v>
      </c>
      <c r="C80" s="53" t="s">
        <v>919</v>
      </c>
      <c r="D80" s="49" t="s">
        <v>920</v>
      </c>
      <c r="E80" s="49" t="s">
        <v>921</v>
      </c>
      <c r="F80" s="49" t="s">
        <v>922</v>
      </c>
      <c r="G80" s="49" t="s">
        <v>923</v>
      </c>
      <c r="H80" s="49" t="s">
        <v>924</v>
      </c>
      <c r="I80" s="49" t="s">
        <v>925</v>
      </c>
      <c r="J80" s="49" t="s">
        <v>926</v>
      </c>
      <c r="K80" s="50" t="s">
        <v>919</v>
      </c>
      <c r="L80" s="49" t="s">
        <v>1446</v>
      </c>
      <c r="M80" s="49" t="s">
        <v>1447</v>
      </c>
      <c r="N80" s="49" t="s">
        <v>1448</v>
      </c>
      <c r="O80" s="49" t="s">
        <v>1449</v>
      </c>
      <c r="Q80" s="56" t="s">
        <v>1425</v>
      </c>
      <c r="R80" s="57" t="s">
        <v>1450</v>
      </c>
      <c r="S80" s="58" t="s">
        <v>1451</v>
      </c>
    </row>
    <row r="81" customFormat="false" ht="77.25" hidden="false" customHeight="true" outlineLevel="0" collapsed="false">
      <c r="A81" s="47" t="s">
        <v>927</v>
      </c>
      <c r="B81" s="53" t="s">
        <v>891</v>
      </c>
      <c r="C81" s="53" t="s">
        <v>928</v>
      </c>
      <c r="D81" s="49" t="s">
        <v>929</v>
      </c>
      <c r="E81" s="49" t="s">
        <v>930</v>
      </c>
      <c r="F81" s="49" t="s">
        <v>931</v>
      </c>
      <c r="G81" s="49" t="s">
        <v>932</v>
      </c>
      <c r="H81" s="49" t="s">
        <v>933</v>
      </c>
      <c r="I81" s="49" t="s">
        <v>934</v>
      </c>
      <c r="J81" s="49" t="s">
        <v>935</v>
      </c>
      <c r="K81" s="50" t="s">
        <v>928</v>
      </c>
      <c r="L81" s="49" t="s">
        <v>1452</v>
      </c>
      <c r="M81" s="49" t="s">
        <v>1453</v>
      </c>
      <c r="N81" s="49" t="s">
        <v>1454</v>
      </c>
      <c r="O81" s="49" t="s">
        <v>1455</v>
      </c>
      <c r="Q81" s="56" t="s">
        <v>1425</v>
      </c>
      <c r="R81" s="57" t="s">
        <v>1456</v>
      </c>
      <c r="S81" s="58" t="s">
        <v>1457</v>
      </c>
    </row>
    <row r="82" customFormat="false" ht="93" hidden="false" customHeight="true" outlineLevel="0" collapsed="false">
      <c r="A82" s="47" t="s">
        <v>936</v>
      </c>
      <c r="B82" s="53" t="s">
        <v>937</v>
      </c>
      <c r="C82" s="53" t="s">
        <v>938</v>
      </c>
      <c r="D82" s="49" t="s">
        <v>939</v>
      </c>
      <c r="E82" s="49" t="s">
        <v>940</v>
      </c>
      <c r="F82" s="49" t="s">
        <v>941</v>
      </c>
      <c r="G82" s="49" t="s">
        <v>942</v>
      </c>
      <c r="H82" s="49" t="s">
        <v>943</v>
      </c>
      <c r="I82" s="49" t="s">
        <v>944</v>
      </c>
      <c r="J82" s="49" t="s">
        <v>945</v>
      </c>
      <c r="K82" s="50" t="s">
        <v>938</v>
      </c>
      <c r="L82" s="49" t="s">
        <v>1458</v>
      </c>
      <c r="M82" s="49" t="s">
        <v>1459</v>
      </c>
      <c r="N82" s="49" t="s">
        <v>1460</v>
      </c>
      <c r="O82" s="49" t="s">
        <v>1461</v>
      </c>
      <c r="Q82" s="56" t="s">
        <v>1425</v>
      </c>
      <c r="R82" s="57" t="s">
        <v>1462</v>
      </c>
      <c r="S82" s="58" t="s">
        <v>1463</v>
      </c>
    </row>
    <row r="83" customFormat="false" ht="170.25" hidden="false" customHeight="true" outlineLevel="0" collapsed="false">
      <c r="A83" s="47" t="s">
        <v>946</v>
      </c>
      <c r="B83" s="53" t="s">
        <v>937</v>
      </c>
      <c r="C83" s="53" t="s">
        <v>947</v>
      </c>
      <c r="D83" s="49" t="s">
        <v>948</v>
      </c>
      <c r="E83" s="49" t="s">
        <v>949</v>
      </c>
      <c r="F83" s="49" t="s">
        <v>950</v>
      </c>
      <c r="G83" s="49" t="s">
        <v>951</v>
      </c>
      <c r="H83" s="49" t="s">
        <v>952</v>
      </c>
      <c r="I83" s="49" t="s">
        <v>953</v>
      </c>
      <c r="J83" s="49" t="s">
        <v>954</v>
      </c>
      <c r="K83" s="50" t="s">
        <v>947</v>
      </c>
      <c r="L83" s="49" t="s">
        <v>1464</v>
      </c>
      <c r="M83" s="49" t="s">
        <v>1465</v>
      </c>
      <c r="N83" s="49" t="s">
        <v>1466</v>
      </c>
      <c r="O83" s="49" t="s">
        <v>1467</v>
      </c>
      <c r="Q83" s="56" t="s">
        <v>1425</v>
      </c>
      <c r="R83" s="57" t="s">
        <v>1468</v>
      </c>
      <c r="S83" s="58" t="s">
        <v>1469</v>
      </c>
    </row>
    <row r="84" customFormat="false" ht="77.25" hidden="false" customHeight="true" outlineLevel="0" collapsed="false">
      <c r="A84" s="47" t="s">
        <v>955</v>
      </c>
      <c r="B84" s="53" t="s">
        <v>937</v>
      </c>
      <c r="C84" s="53" t="s">
        <v>956</v>
      </c>
      <c r="D84" s="49" t="s">
        <v>957</v>
      </c>
      <c r="E84" s="49" t="s">
        <v>958</v>
      </c>
      <c r="F84" s="49" t="s">
        <v>959</v>
      </c>
      <c r="G84" s="49" t="s">
        <v>960</v>
      </c>
      <c r="H84" s="49" t="s">
        <v>961</v>
      </c>
      <c r="I84" s="49" t="s">
        <v>962</v>
      </c>
      <c r="J84" s="49" t="s">
        <v>963</v>
      </c>
      <c r="K84" s="50" t="s">
        <v>956</v>
      </c>
      <c r="L84" s="49" t="s">
        <v>1470</v>
      </c>
      <c r="M84" s="49" t="s">
        <v>1471</v>
      </c>
      <c r="N84" s="49" t="s">
        <v>1472</v>
      </c>
      <c r="O84" s="49" t="s">
        <v>1473</v>
      </c>
      <c r="Q84" s="56" t="s">
        <v>1425</v>
      </c>
      <c r="R84" s="57" t="s">
        <v>1474</v>
      </c>
      <c r="S84" s="58" t="s">
        <v>1475</v>
      </c>
    </row>
    <row r="85" customFormat="false" ht="77.25" hidden="false" customHeight="true" outlineLevel="0" collapsed="false">
      <c r="A85" s="47" t="s">
        <v>964</v>
      </c>
      <c r="B85" s="53" t="s">
        <v>965</v>
      </c>
      <c r="C85" s="53" t="s">
        <v>966</v>
      </c>
      <c r="D85" s="49" t="s">
        <v>967</v>
      </c>
      <c r="E85" s="49" t="s">
        <v>968</v>
      </c>
      <c r="F85" s="49" t="s">
        <v>969</v>
      </c>
      <c r="G85" s="49" t="s">
        <v>970</v>
      </c>
      <c r="H85" s="49" t="s">
        <v>971</v>
      </c>
      <c r="I85" s="49" t="s">
        <v>972</v>
      </c>
      <c r="J85" s="49" t="s">
        <v>973</v>
      </c>
      <c r="K85" s="50" t="s">
        <v>966</v>
      </c>
      <c r="L85" s="49" t="s">
        <v>1476</v>
      </c>
      <c r="M85" s="49" t="s">
        <v>1477</v>
      </c>
      <c r="N85" s="49" t="s">
        <v>1478</v>
      </c>
      <c r="O85" s="49" t="s">
        <v>1479</v>
      </c>
      <c r="Q85" s="56" t="s">
        <v>1425</v>
      </c>
      <c r="R85" s="57" t="s">
        <v>1480</v>
      </c>
      <c r="S85" s="58" t="s">
        <v>1481</v>
      </c>
    </row>
    <row r="86" customFormat="false" ht="77.25" hidden="false" customHeight="true" outlineLevel="0" collapsed="false">
      <c r="A86" s="47" t="s">
        <v>974</v>
      </c>
      <c r="B86" s="53" t="s">
        <v>965</v>
      </c>
      <c r="C86" s="53" t="s">
        <v>975</v>
      </c>
      <c r="D86" s="49" t="s">
        <v>976</v>
      </c>
      <c r="E86" s="49" t="s">
        <v>977</v>
      </c>
      <c r="F86" s="49" t="s">
        <v>978</v>
      </c>
      <c r="G86" s="49" t="s">
        <v>979</v>
      </c>
      <c r="H86" s="49" t="s">
        <v>980</v>
      </c>
      <c r="I86" s="49" t="s">
        <v>981</v>
      </c>
      <c r="J86" s="49" t="s">
        <v>982</v>
      </c>
      <c r="K86" s="50" t="s">
        <v>975</v>
      </c>
      <c r="L86" s="49" t="s">
        <v>1482</v>
      </c>
      <c r="M86" s="49" t="s">
        <v>1483</v>
      </c>
      <c r="N86" s="49" t="s">
        <v>1484</v>
      </c>
      <c r="O86" s="49" t="s">
        <v>1485</v>
      </c>
      <c r="Q86" s="56" t="s">
        <v>1425</v>
      </c>
      <c r="R86" s="57" t="s">
        <v>1486</v>
      </c>
      <c r="S86" s="58" t="s">
        <v>1487</v>
      </c>
    </row>
  </sheetData>
  <mergeCells count="2">
    <mergeCell ref="A1:P1"/>
    <mergeCell ref="A2:P2"/>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K6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7"/>
    <col collapsed="false" customWidth="true" hidden="false" outlineLevel="0" max="3" min="3" style="1" width="16"/>
    <col collapsed="false" customWidth="true" hidden="false" outlineLevel="0" max="4" min="4" style="1" width="26"/>
    <col collapsed="false" customWidth="true" hidden="false" outlineLevel="0" max="5" min="5" style="1" width="11"/>
    <col collapsed="false" customWidth="true" hidden="false" outlineLevel="0" max="6" min="6" style="1" width="9"/>
    <col collapsed="false" customWidth="true" hidden="false" outlineLevel="0" max="7" min="7" style="1" width="27.27"/>
    <col collapsed="false" customWidth="true" hidden="false" outlineLevel="0" max="8" min="8" style="1" width="36"/>
    <col collapsed="false" customWidth="true" hidden="false" outlineLevel="0" max="9" min="9" style="1" width="22"/>
    <col collapsed="false" customWidth="true" hidden="false" outlineLevel="0" max="10" min="10" style="1" width="28"/>
  </cols>
  <sheetData>
    <row r="1" customFormat="false" ht="15" hidden="false" customHeight="true" outlineLevel="0" collapsed="false">
      <c r="A1" s="38" t="s">
        <v>1488</v>
      </c>
      <c r="B1" s="38"/>
      <c r="C1" s="38"/>
      <c r="D1" s="38"/>
      <c r="E1" s="38"/>
      <c r="F1" s="38"/>
      <c r="G1" s="38"/>
      <c r="H1" s="38"/>
      <c r="I1" s="38"/>
      <c r="J1" s="38"/>
      <c r="K1" s="38"/>
    </row>
    <row r="2" customFormat="false" ht="15" hidden="false" customHeight="true" outlineLevel="0" collapsed="false">
      <c r="A2" s="39" t="s">
        <v>1489</v>
      </c>
      <c r="B2" s="39"/>
      <c r="C2" s="39"/>
      <c r="D2" s="39"/>
      <c r="E2" s="39"/>
      <c r="F2" s="39"/>
      <c r="G2" s="39"/>
      <c r="H2" s="39"/>
      <c r="I2" s="39"/>
      <c r="J2" s="39"/>
      <c r="K2" s="39"/>
    </row>
    <row r="3" customFormat="false" ht="15" hidden="false" customHeight="true" outlineLevel="0" collapsed="false">
      <c r="A3" s="40" t="s">
        <v>56</v>
      </c>
    </row>
    <row r="4" customFormat="false" ht="26.25" hidden="false" customHeight="true" outlineLevel="0" collapsed="false">
      <c r="A4" s="41" t="s">
        <v>1490</v>
      </c>
      <c r="B4" s="41" t="s">
        <v>205</v>
      </c>
      <c r="C4" s="41" t="s">
        <v>206</v>
      </c>
      <c r="D4" s="41" t="s">
        <v>207</v>
      </c>
      <c r="E4" s="41" t="s">
        <v>1491</v>
      </c>
      <c r="F4" s="41" t="s">
        <v>1492</v>
      </c>
      <c r="G4" s="41" t="s">
        <v>1493</v>
      </c>
      <c r="H4" s="41" t="s">
        <v>1494</v>
      </c>
      <c r="I4" s="41" t="s">
        <v>986</v>
      </c>
      <c r="J4" s="41" t="s">
        <v>1495</v>
      </c>
      <c r="K4" s="41" t="s">
        <v>1496</v>
      </c>
    </row>
    <row r="5" customFormat="false" ht="108" hidden="false" customHeight="true" outlineLevel="0" collapsed="false">
      <c r="A5" s="59" t="s">
        <v>1497</v>
      </c>
      <c r="B5" s="60" t="s">
        <v>216</v>
      </c>
      <c r="C5" s="61" t="s">
        <v>217</v>
      </c>
      <c r="D5" s="61" t="s">
        <v>218</v>
      </c>
      <c r="E5" s="62" t="s">
        <v>1498</v>
      </c>
      <c r="F5" s="62" t="s">
        <v>1499</v>
      </c>
      <c r="G5" s="61" t="s">
        <v>1500</v>
      </c>
      <c r="H5" s="61" t="s">
        <v>1501</v>
      </c>
      <c r="I5" s="61" t="s">
        <v>992</v>
      </c>
      <c r="J5" s="61" t="s">
        <v>1502</v>
      </c>
      <c r="K5" s="61" t="s">
        <v>1503</v>
      </c>
    </row>
    <row r="6" customFormat="false" ht="77.25" hidden="false" customHeight="true" outlineLevel="0" collapsed="false">
      <c r="A6" s="59" t="s">
        <v>1497</v>
      </c>
      <c r="B6" s="60" t="s">
        <v>216</v>
      </c>
      <c r="C6" s="61" t="s">
        <v>217</v>
      </c>
      <c r="D6" s="61" t="s">
        <v>218</v>
      </c>
      <c r="E6" s="62" t="s">
        <v>1498</v>
      </c>
      <c r="F6" s="62" t="s">
        <v>209</v>
      </c>
      <c r="G6" s="61" t="s">
        <v>1504</v>
      </c>
      <c r="H6" s="61" t="s">
        <v>1505</v>
      </c>
      <c r="I6" s="61" t="s">
        <v>1506</v>
      </c>
      <c r="J6" s="61"/>
      <c r="K6" s="61"/>
    </row>
    <row r="7" customFormat="false" ht="93" hidden="false" customHeight="true" outlineLevel="0" collapsed="false">
      <c r="A7" s="59" t="s">
        <v>1497</v>
      </c>
      <c r="B7" s="60" t="s">
        <v>216</v>
      </c>
      <c r="C7" s="61" t="s">
        <v>217</v>
      </c>
      <c r="D7" s="61" t="s">
        <v>218</v>
      </c>
      <c r="E7" s="62" t="s">
        <v>1498</v>
      </c>
      <c r="F7" s="62" t="s">
        <v>210</v>
      </c>
      <c r="G7" s="61" t="s">
        <v>1507</v>
      </c>
      <c r="H7" s="61" t="s">
        <v>1508</v>
      </c>
      <c r="I7" s="61" t="s">
        <v>1506</v>
      </c>
      <c r="J7" s="61"/>
      <c r="K7" s="61"/>
    </row>
    <row r="8" customFormat="false" ht="93" hidden="false" customHeight="true" outlineLevel="0" collapsed="false">
      <c r="A8" s="59" t="s">
        <v>1497</v>
      </c>
      <c r="B8" s="60" t="s">
        <v>216</v>
      </c>
      <c r="C8" s="61" t="s">
        <v>217</v>
      </c>
      <c r="D8" s="61" t="s">
        <v>218</v>
      </c>
      <c r="E8" s="62" t="s">
        <v>1498</v>
      </c>
      <c r="F8" s="62" t="s">
        <v>211</v>
      </c>
      <c r="G8" s="61" t="s">
        <v>1509</v>
      </c>
      <c r="H8" s="61" t="s">
        <v>1510</v>
      </c>
      <c r="I8" s="61" t="s">
        <v>1506</v>
      </c>
      <c r="J8" s="61"/>
      <c r="K8" s="61"/>
    </row>
    <row r="9" customFormat="false" ht="77.25" hidden="false" customHeight="true" outlineLevel="0" collapsed="false">
      <c r="A9" s="59" t="s">
        <v>1497</v>
      </c>
      <c r="B9" s="60" t="s">
        <v>216</v>
      </c>
      <c r="C9" s="61" t="s">
        <v>217</v>
      </c>
      <c r="D9" s="61" t="s">
        <v>218</v>
      </c>
      <c r="E9" s="62" t="s">
        <v>1511</v>
      </c>
      <c r="F9" s="62" t="s">
        <v>1512</v>
      </c>
      <c r="G9" s="61" t="s">
        <v>1513</v>
      </c>
      <c r="H9" s="61" t="s">
        <v>1514</v>
      </c>
      <c r="I9" s="61" t="s">
        <v>1506</v>
      </c>
      <c r="J9" s="61"/>
      <c r="K9" s="61"/>
    </row>
    <row r="10" customFormat="false" ht="77.25" hidden="false" customHeight="true" outlineLevel="0" collapsed="false">
      <c r="A10" s="59" t="s">
        <v>1497</v>
      </c>
      <c r="B10" s="60" t="s">
        <v>216</v>
      </c>
      <c r="C10" s="61" t="s">
        <v>217</v>
      </c>
      <c r="D10" s="61" t="s">
        <v>218</v>
      </c>
      <c r="E10" s="62" t="s">
        <v>1511</v>
      </c>
      <c r="F10" s="62" t="s">
        <v>213</v>
      </c>
      <c r="G10" s="61" t="s">
        <v>1515</v>
      </c>
      <c r="H10" s="61" t="s">
        <v>1516</v>
      </c>
      <c r="I10" s="61" t="s">
        <v>1506</v>
      </c>
      <c r="J10" s="61"/>
      <c r="K10" s="61"/>
    </row>
    <row r="11" customFormat="false" ht="77.25" hidden="false" customHeight="true" outlineLevel="0" collapsed="false">
      <c r="A11" s="59" t="s">
        <v>1497</v>
      </c>
      <c r="B11" s="60" t="s">
        <v>216</v>
      </c>
      <c r="C11" s="61" t="s">
        <v>217</v>
      </c>
      <c r="D11" s="61" t="s">
        <v>218</v>
      </c>
      <c r="E11" s="62" t="s">
        <v>1511</v>
      </c>
      <c r="F11" s="62" t="s">
        <v>214</v>
      </c>
      <c r="G11" s="61" t="s">
        <v>1517</v>
      </c>
      <c r="H11" s="61" t="s">
        <v>1518</v>
      </c>
      <c r="I11" s="61" t="s">
        <v>1506</v>
      </c>
      <c r="J11" s="61"/>
      <c r="K11" s="61"/>
    </row>
    <row r="12" customFormat="false" ht="77.25" hidden="false" customHeight="true" outlineLevel="0" collapsed="false">
      <c r="A12" s="59" t="s">
        <v>1497</v>
      </c>
      <c r="B12" s="60" t="s">
        <v>216</v>
      </c>
      <c r="C12" s="61" t="s">
        <v>217</v>
      </c>
      <c r="D12" s="61" t="s">
        <v>218</v>
      </c>
      <c r="E12" s="62" t="s">
        <v>1511</v>
      </c>
      <c r="F12" s="63" t="s">
        <v>215</v>
      </c>
      <c r="G12" s="61" t="s">
        <v>1519</v>
      </c>
      <c r="H12" s="61" t="s">
        <v>1520</v>
      </c>
      <c r="I12" s="61" t="s">
        <v>1506</v>
      </c>
      <c r="J12" s="61"/>
      <c r="K12" s="61"/>
    </row>
    <row r="13" customFormat="false" ht="93" hidden="false" customHeight="true" outlineLevel="0" collapsed="false">
      <c r="A13" s="59" t="s">
        <v>1497</v>
      </c>
      <c r="B13" s="60" t="s">
        <v>226</v>
      </c>
      <c r="C13" s="61" t="s">
        <v>217</v>
      </c>
      <c r="D13" s="61" t="s">
        <v>227</v>
      </c>
      <c r="E13" s="62" t="s">
        <v>1498</v>
      </c>
      <c r="F13" s="62" t="s">
        <v>1499</v>
      </c>
      <c r="G13" s="61" t="s">
        <v>1521</v>
      </c>
      <c r="H13" s="61" t="s">
        <v>1522</v>
      </c>
      <c r="I13" s="61" t="s">
        <v>999</v>
      </c>
      <c r="J13" s="61" t="s">
        <v>1523</v>
      </c>
      <c r="K13" s="61" t="s">
        <v>1503</v>
      </c>
    </row>
    <row r="14" customFormat="false" ht="77.25" hidden="false" customHeight="true" outlineLevel="0" collapsed="false">
      <c r="A14" s="59" t="s">
        <v>1497</v>
      </c>
      <c r="B14" s="60" t="s">
        <v>226</v>
      </c>
      <c r="C14" s="61" t="s">
        <v>217</v>
      </c>
      <c r="D14" s="61" t="s">
        <v>227</v>
      </c>
      <c r="E14" s="62" t="s">
        <v>1498</v>
      </c>
      <c r="F14" s="62" t="s">
        <v>209</v>
      </c>
      <c r="G14" s="61" t="s">
        <v>1524</v>
      </c>
      <c r="H14" s="61" t="s">
        <v>1525</v>
      </c>
      <c r="I14" s="61" t="s">
        <v>1506</v>
      </c>
      <c r="J14" s="61"/>
      <c r="K14" s="61"/>
    </row>
    <row r="15" customFormat="false" ht="77.25" hidden="false" customHeight="true" outlineLevel="0" collapsed="false">
      <c r="A15" s="59" t="s">
        <v>1497</v>
      </c>
      <c r="B15" s="60" t="s">
        <v>226</v>
      </c>
      <c r="C15" s="61" t="s">
        <v>217</v>
      </c>
      <c r="D15" s="61" t="s">
        <v>227</v>
      </c>
      <c r="E15" s="62" t="s">
        <v>1498</v>
      </c>
      <c r="F15" s="62" t="s">
        <v>210</v>
      </c>
      <c r="G15" s="61" t="s">
        <v>1526</v>
      </c>
      <c r="H15" s="61" t="s">
        <v>1527</v>
      </c>
      <c r="I15" s="61" t="s">
        <v>1506</v>
      </c>
      <c r="J15" s="61"/>
      <c r="K15" s="61"/>
    </row>
    <row r="16" customFormat="false" ht="77.25" hidden="false" customHeight="true" outlineLevel="0" collapsed="false">
      <c r="A16" s="59" t="s">
        <v>1497</v>
      </c>
      <c r="B16" s="60" t="s">
        <v>226</v>
      </c>
      <c r="C16" s="61" t="s">
        <v>217</v>
      </c>
      <c r="D16" s="61" t="s">
        <v>227</v>
      </c>
      <c r="E16" s="62" t="s">
        <v>1498</v>
      </c>
      <c r="F16" s="62" t="s">
        <v>211</v>
      </c>
      <c r="G16" s="61" t="s">
        <v>1528</v>
      </c>
      <c r="H16" s="61" t="s">
        <v>1529</v>
      </c>
      <c r="I16" s="61" t="s">
        <v>1506</v>
      </c>
      <c r="J16" s="61"/>
      <c r="K16" s="61"/>
    </row>
    <row r="17" customFormat="false" ht="77.25" hidden="false" customHeight="true" outlineLevel="0" collapsed="false">
      <c r="A17" s="59" t="s">
        <v>1497</v>
      </c>
      <c r="B17" s="60" t="s">
        <v>226</v>
      </c>
      <c r="C17" s="61" t="s">
        <v>217</v>
      </c>
      <c r="D17" s="61" t="s">
        <v>227</v>
      </c>
      <c r="E17" s="62" t="s">
        <v>1511</v>
      </c>
      <c r="F17" s="62" t="s">
        <v>1512</v>
      </c>
      <c r="G17" s="61" t="s">
        <v>1530</v>
      </c>
      <c r="H17" s="61" t="s">
        <v>1531</v>
      </c>
      <c r="I17" s="61" t="s">
        <v>1506</v>
      </c>
      <c r="J17" s="61"/>
      <c r="K17" s="61"/>
    </row>
    <row r="18" customFormat="false" ht="77.25" hidden="false" customHeight="true" outlineLevel="0" collapsed="false">
      <c r="A18" s="59" t="s">
        <v>1497</v>
      </c>
      <c r="B18" s="60" t="s">
        <v>226</v>
      </c>
      <c r="C18" s="61" t="s">
        <v>217</v>
      </c>
      <c r="D18" s="61" t="s">
        <v>227</v>
      </c>
      <c r="E18" s="62" t="s">
        <v>1511</v>
      </c>
      <c r="F18" s="62" t="s">
        <v>213</v>
      </c>
      <c r="G18" s="61" t="s">
        <v>1532</v>
      </c>
      <c r="H18" s="61" t="s">
        <v>1533</v>
      </c>
      <c r="I18" s="61" t="s">
        <v>1506</v>
      </c>
      <c r="J18" s="61"/>
      <c r="K18" s="61"/>
    </row>
    <row r="19" customFormat="false" ht="77.25" hidden="false" customHeight="true" outlineLevel="0" collapsed="false">
      <c r="A19" s="59" t="s">
        <v>1497</v>
      </c>
      <c r="B19" s="60" t="s">
        <v>226</v>
      </c>
      <c r="C19" s="61" t="s">
        <v>217</v>
      </c>
      <c r="D19" s="61" t="s">
        <v>227</v>
      </c>
      <c r="E19" s="62" t="s">
        <v>1511</v>
      </c>
      <c r="F19" s="62" t="s">
        <v>214</v>
      </c>
      <c r="G19" s="61" t="s">
        <v>1534</v>
      </c>
      <c r="H19" s="61" t="s">
        <v>1535</v>
      </c>
      <c r="I19" s="61" t="s">
        <v>1506</v>
      </c>
      <c r="J19" s="61"/>
      <c r="K19" s="61"/>
    </row>
    <row r="20" customFormat="false" ht="77.25" hidden="false" customHeight="true" outlineLevel="0" collapsed="false">
      <c r="A20" s="59" t="s">
        <v>1497</v>
      </c>
      <c r="B20" s="60" t="s">
        <v>226</v>
      </c>
      <c r="C20" s="61" t="s">
        <v>217</v>
      </c>
      <c r="D20" s="61" t="s">
        <v>227</v>
      </c>
      <c r="E20" s="62" t="s">
        <v>1511</v>
      </c>
      <c r="F20" s="63" t="s">
        <v>215</v>
      </c>
      <c r="G20" s="61" t="s">
        <v>1536</v>
      </c>
      <c r="H20" s="61" t="s">
        <v>1537</v>
      </c>
      <c r="I20" s="61" t="s">
        <v>1506</v>
      </c>
      <c r="J20" s="61"/>
      <c r="K20" s="61"/>
    </row>
    <row r="21" customFormat="false" ht="93" hidden="false" customHeight="true" outlineLevel="0" collapsed="false">
      <c r="A21" s="59" t="s">
        <v>1497</v>
      </c>
      <c r="B21" s="60" t="s">
        <v>235</v>
      </c>
      <c r="C21" s="61" t="s">
        <v>236</v>
      </c>
      <c r="D21" s="61" t="s">
        <v>237</v>
      </c>
      <c r="E21" s="62" t="s">
        <v>1498</v>
      </c>
      <c r="F21" s="62" t="s">
        <v>1499</v>
      </c>
      <c r="G21" s="61" t="s">
        <v>1538</v>
      </c>
      <c r="H21" s="61" t="s">
        <v>1539</v>
      </c>
      <c r="I21" s="61" t="s">
        <v>1005</v>
      </c>
      <c r="J21" s="61" t="s">
        <v>1540</v>
      </c>
      <c r="K21" s="61" t="s">
        <v>1503</v>
      </c>
    </row>
    <row r="22" customFormat="false" ht="77.25" hidden="false" customHeight="true" outlineLevel="0" collapsed="false">
      <c r="A22" s="59" t="s">
        <v>1497</v>
      </c>
      <c r="B22" s="60" t="s">
        <v>235</v>
      </c>
      <c r="C22" s="61" t="s">
        <v>236</v>
      </c>
      <c r="D22" s="61" t="s">
        <v>237</v>
      </c>
      <c r="E22" s="62" t="s">
        <v>1498</v>
      </c>
      <c r="F22" s="62" t="s">
        <v>209</v>
      </c>
      <c r="G22" s="61" t="s">
        <v>1541</v>
      </c>
      <c r="H22" s="61" t="s">
        <v>1542</v>
      </c>
      <c r="I22" s="61" t="s">
        <v>1506</v>
      </c>
      <c r="J22" s="61"/>
      <c r="K22" s="61"/>
    </row>
    <row r="23" customFormat="false" ht="77.25" hidden="false" customHeight="true" outlineLevel="0" collapsed="false">
      <c r="A23" s="59" t="s">
        <v>1497</v>
      </c>
      <c r="B23" s="60" t="s">
        <v>235</v>
      </c>
      <c r="C23" s="61" t="s">
        <v>236</v>
      </c>
      <c r="D23" s="61" t="s">
        <v>237</v>
      </c>
      <c r="E23" s="62" t="s">
        <v>1498</v>
      </c>
      <c r="F23" s="62" t="s">
        <v>210</v>
      </c>
      <c r="G23" s="61" t="s">
        <v>1543</v>
      </c>
      <c r="H23" s="61" t="s">
        <v>1544</v>
      </c>
      <c r="I23" s="61" t="s">
        <v>1506</v>
      </c>
      <c r="J23" s="61"/>
      <c r="K23" s="61"/>
    </row>
    <row r="24" customFormat="false" ht="77.25" hidden="false" customHeight="true" outlineLevel="0" collapsed="false">
      <c r="A24" s="59" t="s">
        <v>1497</v>
      </c>
      <c r="B24" s="60" t="s">
        <v>235</v>
      </c>
      <c r="C24" s="61" t="s">
        <v>236</v>
      </c>
      <c r="D24" s="61" t="s">
        <v>237</v>
      </c>
      <c r="E24" s="62" t="s">
        <v>1498</v>
      </c>
      <c r="F24" s="62" t="s">
        <v>211</v>
      </c>
      <c r="G24" s="61" t="s">
        <v>1545</v>
      </c>
      <c r="H24" s="61" t="s">
        <v>1546</v>
      </c>
      <c r="I24" s="61" t="s">
        <v>1506</v>
      </c>
      <c r="J24" s="61"/>
      <c r="K24" s="61"/>
    </row>
    <row r="25" customFormat="false" ht="77.25" hidden="false" customHeight="true" outlineLevel="0" collapsed="false">
      <c r="A25" s="59" t="s">
        <v>1497</v>
      </c>
      <c r="B25" s="60" t="s">
        <v>235</v>
      </c>
      <c r="C25" s="61" t="s">
        <v>236</v>
      </c>
      <c r="D25" s="61" t="s">
        <v>237</v>
      </c>
      <c r="E25" s="62" t="s">
        <v>1511</v>
      </c>
      <c r="F25" s="62" t="s">
        <v>1512</v>
      </c>
      <c r="G25" s="61" t="s">
        <v>1547</v>
      </c>
      <c r="H25" s="61" t="s">
        <v>1548</v>
      </c>
      <c r="I25" s="61" t="s">
        <v>1506</v>
      </c>
      <c r="J25" s="61"/>
      <c r="K25" s="61"/>
    </row>
    <row r="26" customFormat="false" ht="77.25" hidden="false" customHeight="true" outlineLevel="0" collapsed="false">
      <c r="A26" s="59" t="s">
        <v>1497</v>
      </c>
      <c r="B26" s="60" t="s">
        <v>235</v>
      </c>
      <c r="C26" s="61" t="s">
        <v>236</v>
      </c>
      <c r="D26" s="61" t="s">
        <v>237</v>
      </c>
      <c r="E26" s="62" t="s">
        <v>1511</v>
      </c>
      <c r="F26" s="62" t="s">
        <v>213</v>
      </c>
      <c r="G26" s="61" t="s">
        <v>1549</v>
      </c>
      <c r="H26" s="61" t="s">
        <v>1550</v>
      </c>
      <c r="I26" s="61" t="s">
        <v>1506</v>
      </c>
      <c r="J26" s="61"/>
      <c r="K26" s="61"/>
    </row>
    <row r="27" customFormat="false" ht="77.25" hidden="false" customHeight="true" outlineLevel="0" collapsed="false">
      <c r="A27" s="59" t="s">
        <v>1497</v>
      </c>
      <c r="B27" s="60" t="s">
        <v>235</v>
      </c>
      <c r="C27" s="61" t="s">
        <v>236</v>
      </c>
      <c r="D27" s="61" t="s">
        <v>237</v>
      </c>
      <c r="E27" s="62" t="s">
        <v>1511</v>
      </c>
      <c r="F27" s="62" t="s">
        <v>214</v>
      </c>
      <c r="G27" s="61" t="s">
        <v>1551</v>
      </c>
      <c r="H27" s="61" t="s">
        <v>1552</v>
      </c>
      <c r="I27" s="61" t="s">
        <v>1506</v>
      </c>
      <c r="J27" s="61"/>
      <c r="K27" s="61"/>
    </row>
    <row r="28" customFormat="false" ht="93" hidden="false" customHeight="true" outlineLevel="0" collapsed="false">
      <c r="A28" s="59" t="s">
        <v>1497</v>
      </c>
      <c r="B28" s="60" t="s">
        <v>235</v>
      </c>
      <c r="C28" s="61" t="s">
        <v>236</v>
      </c>
      <c r="D28" s="61" t="s">
        <v>237</v>
      </c>
      <c r="E28" s="62" t="s">
        <v>1511</v>
      </c>
      <c r="F28" s="63" t="s">
        <v>215</v>
      </c>
      <c r="G28" s="61" t="s">
        <v>1553</v>
      </c>
      <c r="H28" s="61" t="s">
        <v>1554</v>
      </c>
      <c r="I28" s="61" t="s">
        <v>1506</v>
      </c>
      <c r="J28" s="61"/>
      <c r="K28" s="61"/>
    </row>
    <row r="29" customFormat="false" ht="93" hidden="false" customHeight="true" outlineLevel="0" collapsed="false">
      <c r="A29" s="59" t="s">
        <v>1497</v>
      </c>
      <c r="B29" s="60" t="s">
        <v>245</v>
      </c>
      <c r="C29" s="61" t="s">
        <v>236</v>
      </c>
      <c r="D29" s="61" t="s">
        <v>246</v>
      </c>
      <c r="E29" s="62" t="s">
        <v>1498</v>
      </c>
      <c r="F29" s="62" t="s">
        <v>1499</v>
      </c>
      <c r="G29" s="61" t="s">
        <v>1555</v>
      </c>
      <c r="H29" s="61" t="s">
        <v>1556</v>
      </c>
      <c r="I29" s="61" t="s">
        <v>1011</v>
      </c>
      <c r="J29" s="61" t="s">
        <v>1557</v>
      </c>
      <c r="K29" s="61" t="s">
        <v>1503</v>
      </c>
    </row>
    <row r="30" customFormat="false" ht="77.25" hidden="false" customHeight="true" outlineLevel="0" collapsed="false">
      <c r="A30" s="59" t="s">
        <v>1497</v>
      </c>
      <c r="B30" s="60" t="s">
        <v>245</v>
      </c>
      <c r="C30" s="61" t="s">
        <v>236</v>
      </c>
      <c r="D30" s="61" t="s">
        <v>246</v>
      </c>
      <c r="E30" s="62" t="s">
        <v>1498</v>
      </c>
      <c r="F30" s="62" t="s">
        <v>209</v>
      </c>
      <c r="G30" s="61" t="s">
        <v>1558</v>
      </c>
      <c r="H30" s="61" t="s">
        <v>1559</v>
      </c>
      <c r="I30" s="61" t="s">
        <v>1506</v>
      </c>
      <c r="J30" s="61"/>
      <c r="K30" s="61"/>
    </row>
    <row r="31" customFormat="false" ht="77.25" hidden="false" customHeight="true" outlineLevel="0" collapsed="false">
      <c r="A31" s="59" t="s">
        <v>1497</v>
      </c>
      <c r="B31" s="60" t="s">
        <v>245</v>
      </c>
      <c r="C31" s="61" t="s">
        <v>236</v>
      </c>
      <c r="D31" s="61" t="s">
        <v>246</v>
      </c>
      <c r="E31" s="62" t="s">
        <v>1498</v>
      </c>
      <c r="F31" s="62" t="s">
        <v>210</v>
      </c>
      <c r="G31" s="61" t="s">
        <v>1560</v>
      </c>
      <c r="H31" s="61" t="s">
        <v>1561</v>
      </c>
      <c r="I31" s="61" t="s">
        <v>1506</v>
      </c>
      <c r="J31" s="61"/>
      <c r="K31" s="61"/>
    </row>
    <row r="32" customFormat="false" ht="77.25" hidden="false" customHeight="true" outlineLevel="0" collapsed="false">
      <c r="A32" s="59" t="s">
        <v>1497</v>
      </c>
      <c r="B32" s="60" t="s">
        <v>245</v>
      </c>
      <c r="C32" s="61" t="s">
        <v>236</v>
      </c>
      <c r="D32" s="61" t="s">
        <v>246</v>
      </c>
      <c r="E32" s="62" t="s">
        <v>1498</v>
      </c>
      <c r="F32" s="62" t="s">
        <v>211</v>
      </c>
      <c r="G32" s="61" t="s">
        <v>1562</v>
      </c>
      <c r="H32" s="61" t="s">
        <v>1563</v>
      </c>
      <c r="I32" s="61" t="s">
        <v>1506</v>
      </c>
      <c r="J32" s="61"/>
      <c r="K32" s="61"/>
    </row>
    <row r="33" customFormat="false" ht="77.25" hidden="false" customHeight="true" outlineLevel="0" collapsed="false">
      <c r="A33" s="59" t="s">
        <v>1497</v>
      </c>
      <c r="B33" s="60" t="s">
        <v>245</v>
      </c>
      <c r="C33" s="61" t="s">
        <v>236</v>
      </c>
      <c r="D33" s="61" t="s">
        <v>246</v>
      </c>
      <c r="E33" s="62" t="s">
        <v>1511</v>
      </c>
      <c r="F33" s="62" t="s">
        <v>1512</v>
      </c>
      <c r="G33" s="61" t="s">
        <v>1564</v>
      </c>
      <c r="H33" s="61" t="s">
        <v>1565</v>
      </c>
      <c r="I33" s="61" t="s">
        <v>1506</v>
      </c>
      <c r="J33" s="61"/>
      <c r="K33" s="61"/>
    </row>
    <row r="34" customFormat="false" ht="77.25" hidden="false" customHeight="true" outlineLevel="0" collapsed="false">
      <c r="A34" s="59" t="s">
        <v>1497</v>
      </c>
      <c r="B34" s="60" t="s">
        <v>245</v>
      </c>
      <c r="C34" s="61" t="s">
        <v>236</v>
      </c>
      <c r="D34" s="61" t="s">
        <v>246</v>
      </c>
      <c r="E34" s="62" t="s">
        <v>1511</v>
      </c>
      <c r="F34" s="62" t="s">
        <v>213</v>
      </c>
      <c r="G34" s="61" t="s">
        <v>1566</v>
      </c>
      <c r="H34" s="61" t="s">
        <v>1567</v>
      </c>
      <c r="I34" s="61" t="s">
        <v>1506</v>
      </c>
      <c r="J34" s="61"/>
      <c r="K34" s="61"/>
    </row>
    <row r="35" customFormat="false" ht="77.25" hidden="false" customHeight="true" outlineLevel="0" collapsed="false">
      <c r="A35" s="59" t="s">
        <v>1497</v>
      </c>
      <c r="B35" s="60" t="s">
        <v>245</v>
      </c>
      <c r="C35" s="61" t="s">
        <v>236</v>
      </c>
      <c r="D35" s="61" t="s">
        <v>246</v>
      </c>
      <c r="E35" s="62" t="s">
        <v>1511</v>
      </c>
      <c r="F35" s="62" t="s">
        <v>214</v>
      </c>
      <c r="G35" s="61" t="s">
        <v>1568</v>
      </c>
      <c r="H35" s="61" t="s">
        <v>1569</v>
      </c>
      <c r="I35" s="61" t="s">
        <v>1506</v>
      </c>
      <c r="J35" s="61"/>
      <c r="K35" s="61"/>
    </row>
    <row r="36" customFormat="false" ht="93" hidden="false" customHeight="true" outlineLevel="0" collapsed="false">
      <c r="A36" s="59" t="s">
        <v>1497</v>
      </c>
      <c r="B36" s="60" t="s">
        <v>245</v>
      </c>
      <c r="C36" s="61" t="s">
        <v>236</v>
      </c>
      <c r="D36" s="61" t="s">
        <v>246</v>
      </c>
      <c r="E36" s="62" t="s">
        <v>1511</v>
      </c>
      <c r="F36" s="63" t="s">
        <v>215</v>
      </c>
      <c r="G36" s="61" t="s">
        <v>1570</v>
      </c>
      <c r="H36" s="61" t="s">
        <v>1571</v>
      </c>
      <c r="I36" s="61" t="s">
        <v>1506</v>
      </c>
      <c r="J36" s="61"/>
      <c r="K36" s="61"/>
    </row>
    <row r="37" customFormat="false" ht="139.5" hidden="false" customHeight="true" outlineLevel="0" collapsed="false">
      <c r="A37" s="59" t="s">
        <v>1497</v>
      </c>
      <c r="B37" s="60" t="s">
        <v>254</v>
      </c>
      <c r="C37" s="61" t="s">
        <v>255</v>
      </c>
      <c r="D37" s="61" t="s">
        <v>256</v>
      </c>
      <c r="E37" s="62" t="s">
        <v>1498</v>
      </c>
      <c r="F37" s="62" t="s">
        <v>1499</v>
      </c>
      <c r="G37" s="61" t="s">
        <v>1572</v>
      </c>
      <c r="H37" s="61" t="s">
        <v>1573</v>
      </c>
      <c r="I37" s="61" t="s">
        <v>1017</v>
      </c>
      <c r="J37" s="61" t="s">
        <v>1574</v>
      </c>
      <c r="K37" s="61" t="s">
        <v>1503</v>
      </c>
    </row>
    <row r="38" customFormat="false" ht="139.5" hidden="false" customHeight="true" outlineLevel="0" collapsed="false">
      <c r="A38" s="59" t="s">
        <v>1497</v>
      </c>
      <c r="B38" s="60" t="s">
        <v>254</v>
      </c>
      <c r="C38" s="61" t="s">
        <v>255</v>
      </c>
      <c r="D38" s="61" t="s">
        <v>256</v>
      </c>
      <c r="E38" s="62" t="s">
        <v>1498</v>
      </c>
      <c r="F38" s="62" t="s">
        <v>209</v>
      </c>
      <c r="G38" s="61" t="s">
        <v>1575</v>
      </c>
      <c r="H38" s="61" t="s">
        <v>1576</v>
      </c>
      <c r="I38" s="61" t="s">
        <v>1506</v>
      </c>
      <c r="J38" s="61"/>
      <c r="K38" s="61"/>
    </row>
    <row r="39" customFormat="false" ht="139.5" hidden="false" customHeight="true" outlineLevel="0" collapsed="false">
      <c r="A39" s="59" t="s">
        <v>1497</v>
      </c>
      <c r="B39" s="60" t="s">
        <v>254</v>
      </c>
      <c r="C39" s="61" t="s">
        <v>255</v>
      </c>
      <c r="D39" s="61" t="s">
        <v>256</v>
      </c>
      <c r="E39" s="62" t="s">
        <v>1498</v>
      </c>
      <c r="F39" s="62" t="s">
        <v>210</v>
      </c>
      <c r="G39" s="61" t="s">
        <v>1577</v>
      </c>
      <c r="H39" s="61" t="s">
        <v>1578</v>
      </c>
      <c r="I39" s="61" t="s">
        <v>1506</v>
      </c>
      <c r="J39" s="61"/>
      <c r="K39" s="61"/>
    </row>
    <row r="40" customFormat="false" ht="139.5" hidden="false" customHeight="true" outlineLevel="0" collapsed="false">
      <c r="A40" s="59" t="s">
        <v>1497</v>
      </c>
      <c r="B40" s="60" t="s">
        <v>254</v>
      </c>
      <c r="C40" s="61" t="s">
        <v>255</v>
      </c>
      <c r="D40" s="61" t="s">
        <v>256</v>
      </c>
      <c r="E40" s="62" t="s">
        <v>1498</v>
      </c>
      <c r="F40" s="62" t="s">
        <v>211</v>
      </c>
      <c r="G40" s="61" t="s">
        <v>1579</v>
      </c>
      <c r="H40" s="61" t="s">
        <v>1580</v>
      </c>
      <c r="I40" s="61" t="s">
        <v>1506</v>
      </c>
      <c r="J40" s="61"/>
      <c r="K40" s="61"/>
    </row>
    <row r="41" customFormat="false" ht="139.5" hidden="false" customHeight="true" outlineLevel="0" collapsed="false">
      <c r="A41" s="59" t="s">
        <v>1497</v>
      </c>
      <c r="B41" s="60" t="s">
        <v>254</v>
      </c>
      <c r="C41" s="61" t="s">
        <v>255</v>
      </c>
      <c r="D41" s="61" t="s">
        <v>256</v>
      </c>
      <c r="E41" s="62" t="s">
        <v>1511</v>
      </c>
      <c r="F41" s="62" t="s">
        <v>1512</v>
      </c>
      <c r="G41" s="61" t="s">
        <v>1581</v>
      </c>
      <c r="H41" s="61" t="s">
        <v>1582</v>
      </c>
      <c r="I41" s="61" t="s">
        <v>1506</v>
      </c>
      <c r="J41" s="61"/>
      <c r="K41" s="61"/>
    </row>
    <row r="42" customFormat="false" ht="139.5" hidden="false" customHeight="true" outlineLevel="0" collapsed="false">
      <c r="A42" s="59" t="s">
        <v>1497</v>
      </c>
      <c r="B42" s="60" t="s">
        <v>254</v>
      </c>
      <c r="C42" s="61" t="s">
        <v>255</v>
      </c>
      <c r="D42" s="61" t="s">
        <v>256</v>
      </c>
      <c r="E42" s="62" t="s">
        <v>1511</v>
      </c>
      <c r="F42" s="62" t="s">
        <v>213</v>
      </c>
      <c r="G42" s="61" t="s">
        <v>1583</v>
      </c>
      <c r="H42" s="61" t="s">
        <v>1584</v>
      </c>
      <c r="I42" s="61" t="s">
        <v>1506</v>
      </c>
      <c r="J42" s="61"/>
      <c r="K42" s="61"/>
    </row>
    <row r="43" customFormat="false" ht="139.5" hidden="false" customHeight="true" outlineLevel="0" collapsed="false">
      <c r="A43" s="59" t="s">
        <v>1497</v>
      </c>
      <c r="B43" s="60" t="s">
        <v>254</v>
      </c>
      <c r="C43" s="61" t="s">
        <v>255</v>
      </c>
      <c r="D43" s="61" t="s">
        <v>256</v>
      </c>
      <c r="E43" s="62" t="s">
        <v>1511</v>
      </c>
      <c r="F43" s="62" t="s">
        <v>214</v>
      </c>
      <c r="G43" s="61" t="s">
        <v>1585</v>
      </c>
      <c r="H43" s="61" t="s">
        <v>1586</v>
      </c>
      <c r="I43" s="61" t="s">
        <v>1506</v>
      </c>
      <c r="J43" s="61"/>
      <c r="K43" s="61"/>
    </row>
    <row r="44" customFormat="false" ht="154.5" hidden="false" customHeight="true" outlineLevel="0" collapsed="false">
      <c r="A44" s="59" t="s">
        <v>1497</v>
      </c>
      <c r="B44" s="60" t="s">
        <v>254</v>
      </c>
      <c r="C44" s="61" t="s">
        <v>255</v>
      </c>
      <c r="D44" s="61" t="s">
        <v>256</v>
      </c>
      <c r="E44" s="62" t="s">
        <v>1511</v>
      </c>
      <c r="F44" s="63" t="s">
        <v>215</v>
      </c>
      <c r="G44" s="61" t="s">
        <v>1587</v>
      </c>
      <c r="H44" s="61" t="s">
        <v>1588</v>
      </c>
      <c r="I44" s="61" t="s">
        <v>1506</v>
      </c>
      <c r="J44" s="61"/>
      <c r="K44" s="61"/>
    </row>
    <row r="45" customFormat="false" ht="170.25" hidden="false" customHeight="true" outlineLevel="0" collapsed="false">
      <c r="A45" s="59" t="s">
        <v>1497</v>
      </c>
      <c r="B45" s="60" t="s">
        <v>264</v>
      </c>
      <c r="C45" s="61" t="s">
        <v>255</v>
      </c>
      <c r="D45" s="61" t="s">
        <v>265</v>
      </c>
      <c r="E45" s="62" t="s">
        <v>1498</v>
      </c>
      <c r="F45" s="62" t="s">
        <v>1499</v>
      </c>
      <c r="G45" s="61" t="s">
        <v>1589</v>
      </c>
      <c r="H45" s="61" t="s">
        <v>1590</v>
      </c>
      <c r="I45" s="61" t="s">
        <v>1023</v>
      </c>
      <c r="J45" s="61" t="s">
        <v>1591</v>
      </c>
      <c r="K45" s="61" t="s">
        <v>1503</v>
      </c>
    </row>
    <row r="46" customFormat="false" ht="170.25" hidden="false" customHeight="true" outlineLevel="0" collapsed="false">
      <c r="A46" s="59" t="s">
        <v>1497</v>
      </c>
      <c r="B46" s="60" t="s">
        <v>264</v>
      </c>
      <c r="C46" s="61" t="s">
        <v>255</v>
      </c>
      <c r="D46" s="61" t="s">
        <v>265</v>
      </c>
      <c r="E46" s="62" t="s">
        <v>1498</v>
      </c>
      <c r="F46" s="62" t="s">
        <v>209</v>
      </c>
      <c r="G46" s="61" t="s">
        <v>1592</v>
      </c>
      <c r="H46" s="61" t="s">
        <v>1593</v>
      </c>
      <c r="I46" s="61" t="s">
        <v>1506</v>
      </c>
      <c r="J46" s="61"/>
      <c r="K46" s="61"/>
    </row>
    <row r="47" customFormat="false" ht="170.25" hidden="false" customHeight="true" outlineLevel="0" collapsed="false">
      <c r="A47" s="59" t="s">
        <v>1497</v>
      </c>
      <c r="B47" s="60" t="s">
        <v>264</v>
      </c>
      <c r="C47" s="61" t="s">
        <v>255</v>
      </c>
      <c r="D47" s="61" t="s">
        <v>265</v>
      </c>
      <c r="E47" s="62" t="s">
        <v>1498</v>
      </c>
      <c r="F47" s="62" t="s">
        <v>210</v>
      </c>
      <c r="G47" s="61" t="s">
        <v>1594</v>
      </c>
      <c r="H47" s="61" t="s">
        <v>1595</v>
      </c>
      <c r="I47" s="61" t="s">
        <v>1506</v>
      </c>
      <c r="J47" s="61"/>
      <c r="K47" s="61"/>
    </row>
    <row r="48" customFormat="false" ht="170.25" hidden="false" customHeight="true" outlineLevel="0" collapsed="false">
      <c r="A48" s="59" t="s">
        <v>1497</v>
      </c>
      <c r="B48" s="60" t="s">
        <v>264</v>
      </c>
      <c r="C48" s="61" t="s">
        <v>255</v>
      </c>
      <c r="D48" s="61" t="s">
        <v>265</v>
      </c>
      <c r="E48" s="62" t="s">
        <v>1498</v>
      </c>
      <c r="F48" s="62" t="s">
        <v>211</v>
      </c>
      <c r="G48" s="61" t="s">
        <v>1596</v>
      </c>
      <c r="H48" s="61" t="s">
        <v>1597</v>
      </c>
      <c r="I48" s="61" t="s">
        <v>1506</v>
      </c>
      <c r="J48" s="61"/>
      <c r="K48" s="61"/>
    </row>
    <row r="49" customFormat="false" ht="170.25" hidden="false" customHeight="true" outlineLevel="0" collapsed="false">
      <c r="A49" s="59" t="s">
        <v>1497</v>
      </c>
      <c r="B49" s="60" t="s">
        <v>264</v>
      </c>
      <c r="C49" s="61" t="s">
        <v>255</v>
      </c>
      <c r="D49" s="61" t="s">
        <v>265</v>
      </c>
      <c r="E49" s="62" t="s">
        <v>1511</v>
      </c>
      <c r="F49" s="62" t="s">
        <v>1512</v>
      </c>
      <c r="G49" s="61" t="s">
        <v>1598</v>
      </c>
      <c r="H49" s="61" t="s">
        <v>1599</v>
      </c>
      <c r="I49" s="61" t="s">
        <v>1506</v>
      </c>
      <c r="J49" s="61"/>
      <c r="K49" s="61"/>
    </row>
    <row r="50" customFormat="false" ht="170.25" hidden="false" customHeight="true" outlineLevel="0" collapsed="false">
      <c r="A50" s="59" t="s">
        <v>1497</v>
      </c>
      <c r="B50" s="60" t="s">
        <v>264</v>
      </c>
      <c r="C50" s="61" t="s">
        <v>255</v>
      </c>
      <c r="D50" s="61" t="s">
        <v>265</v>
      </c>
      <c r="E50" s="62" t="s">
        <v>1511</v>
      </c>
      <c r="F50" s="62" t="s">
        <v>213</v>
      </c>
      <c r="G50" s="61" t="s">
        <v>1600</v>
      </c>
      <c r="H50" s="61" t="s">
        <v>1601</v>
      </c>
      <c r="I50" s="61" t="s">
        <v>1506</v>
      </c>
      <c r="J50" s="61"/>
      <c r="K50" s="61"/>
    </row>
    <row r="51" customFormat="false" ht="170.25" hidden="false" customHeight="true" outlineLevel="0" collapsed="false">
      <c r="A51" s="59" t="s">
        <v>1497</v>
      </c>
      <c r="B51" s="60" t="s">
        <v>264</v>
      </c>
      <c r="C51" s="61" t="s">
        <v>255</v>
      </c>
      <c r="D51" s="61" t="s">
        <v>265</v>
      </c>
      <c r="E51" s="62" t="s">
        <v>1511</v>
      </c>
      <c r="F51" s="62" t="s">
        <v>214</v>
      </c>
      <c r="G51" s="61" t="s">
        <v>1602</v>
      </c>
      <c r="H51" s="61" t="s">
        <v>1603</v>
      </c>
      <c r="I51" s="61" t="s">
        <v>1506</v>
      </c>
      <c r="J51" s="61"/>
      <c r="K51" s="61"/>
    </row>
    <row r="52" customFormat="false" ht="170.25" hidden="false" customHeight="true" outlineLevel="0" collapsed="false">
      <c r="A52" s="59" t="s">
        <v>1497</v>
      </c>
      <c r="B52" s="60" t="s">
        <v>264</v>
      </c>
      <c r="C52" s="61" t="s">
        <v>255</v>
      </c>
      <c r="D52" s="61" t="s">
        <v>265</v>
      </c>
      <c r="E52" s="62" t="s">
        <v>1511</v>
      </c>
      <c r="F52" s="63" t="s">
        <v>215</v>
      </c>
      <c r="G52" s="61" t="s">
        <v>1604</v>
      </c>
      <c r="H52" s="61" t="s">
        <v>1605</v>
      </c>
      <c r="I52" s="61" t="s">
        <v>1506</v>
      </c>
      <c r="J52" s="61"/>
      <c r="K52" s="61"/>
    </row>
    <row r="53" customFormat="false" ht="93" hidden="false" customHeight="true" outlineLevel="0" collapsed="false">
      <c r="A53" s="59" t="s">
        <v>1497</v>
      </c>
      <c r="B53" s="60" t="s">
        <v>273</v>
      </c>
      <c r="C53" s="61" t="s">
        <v>255</v>
      </c>
      <c r="D53" s="61" t="s">
        <v>274</v>
      </c>
      <c r="E53" s="62" t="s">
        <v>1498</v>
      </c>
      <c r="F53" s="62" t="s">
        <v>1499</v>
      </c>
      <c r="G53" s="61" t="s">
        <v>1606</v>
      </c>
      <c r="H53" s="61" t="s">
        <v>1607</v>
      </c>
      <c r="I53" s="61" t="s">
        <v>1029</v>
      </c>
      <c r="J53" s="61" t="s">
        <v>1608</v>
      </c>
      <c r="K53" s="61" t="s">
        <v>1503</v>
      </c>
    </row>
    <row r="54" customFormat="false" ht="93" hidden="false" customHeight="true" outlineLevel="0" collapsed="false">
      <c r="A54" s="59" t="s">
        <v>1497</v>
      </c>
      <c r="B54" s="60" t="s">
        <v>273</v>
      </c>
      <c r="C54" s="61" t="s">
        <v>255</v>
      </c>
      <c r="D54" s="61" t="s">
        <v>274</v>
      </c>
      <c r="E54" s="62" t="s">
        <v>1498</v>
      </c>
      <c r="F54" s="62" t="s">
        <v>209</v>
      </c>
      <c r="G54" s="61" t="s">
        <v>1609</v>
      </c>
      <c r="H54" s="61" t="s">
        <v>1610</v>
      </c>
      <c r="I54" s="61" t="s">
        <v>1506</v>
      </c>
      <c r="J54" s="61"/>
      <c r="K54" s="61"/>
    </row>
    <row r="55" customFormat="false" ht="93" hidden="false" customHeight="true" outlineLevel="0" collapsed="false">
      <c r="A55" s="59" t="s">
        <v>1497</v>
      </c>
      <c r="B55" s="60" t="s">
        <v>273</v>
      </c>
      <c r="C55" s="61" t="s">
        <v>255</v>
      </c>
      <c r="D55" s="61" t="s">
        <v>274</v>
      </c>
      <c r="E55" s="62" t="s">
        <v>1498</v>
      </c>
      <c r="F55" s="62" t="s">
        <v>210</v>
      </c>
      <c r="G55" s="61" t="s">
        <v>1611</v>
      </c>
      <c r="H55" s="61" t="s">
        <v>1612</v>
      </c>
      <c r="I55" s="61" t="s">
        <v>1506</v>
      </c>
      <c r="J55" s="61"/>
      <c r="K55" s="61"/>
    </row>
    <row r="56" customFormat="false" ht="93" hidden="false" customHeight="true" outlineLevel="0" collapsed="false">
      <c r="A56" s="59" t="s">
        <v>1497</v>
      </c>
      <c r="B56" s="60" t="s">
        <v>273</v>
      </c>
      <c r="C56" s="61" t="s">
        <v>255</v>
      </c>
      <c r="D56" s="61" t="s">
        <v>274</v>
      </c>
      <c r="E56" s="62" t="s">
        <v>1498</v>
      </c>
      <c r="F56" s="62" t="s">
        <v>211</v>
      </c>
      <c r="G56" s="61" t="s">
        <v>1613</v>
      </c>
      <c r="H56" s="61" t="s">
        <v>1614</v>
      </c>
      <c r="I56" s="61" t="s">
        <v>1506</v>
      </c>
      <c r="J56" s="61"/>
      <c r="K56" s="61"/>
    </row>
    <row r="57" customFormat="false" ht="93" hidden="false" customHeight="true" outlineLevel="0" collapsed="false">
      <c r="A57" s="59" t="s">
        <v>1497</v>
      </c>
      <c r="B57" s="60" t="s">
        <v>273</v>
      </c>
      <c r="C57" s="61" t="s">
        <v>255</v>
      </c>
      <c r="D57" s="61" t="s">
        <v>274</v>
      </c>
      <c r="E57" s="62" t="s">
        <v>1511</v>
      </c>
      <c r="F57" s="62" t="s">
        <v>1512</v>
      </c>
      <c r="G57" s="61" t="s">
        <v>1615</v>
      </c>
      <c r="H57" s="61" t="s">
        <v>1616</v>
      </c>
      <c r="I57" s="61" t="s">
        <v>1506</v>
      </c>
      <c r="J57" s="61"/>
      <c r="K57" s="61"/>
    </row>
    <row r="58" customFormat="false" ht="93" hidden="false" customHeight="true" outlineLevel="0" collapsed="false">
      <c r="A58" s="59" t="s">
        <v>1497</v>
      </c>
      <c r="B58" s="60" t="s">
        <v>273</v>
      </c>
      <c r="C58" s="61" t="s">
        <v>255</v>
      </c>
      <c r="D58" s="61" t="s">
        <v>274</v>
      </c>
      <c r="E58" s="62" t="s">
        <v>1511</v>
      </c>
      <c r="F58" s="62" t="s">
        <v>213</v>
      </c>
      <c r="G58" s="61" t="s">
        <v>1617</v>
      </c>
      <c r="H58" s="61" t="s">
        <v>1618</v>
      </c>
      <c r="I58" s="61" t="s">
        <v>1506</v>
      </c>
      <c r="J58" s="61"/>
      <c r="K58" s="61"/>
    </row>
    <row r="59" customFormat="false" ht="93" hidden="false" customHeight="true" outlineLevel="0" collapsed="false">
      <c r="A59" s="59" t="s">
        <v>1497</v>
      </c>
      <c r="B59" s="60" t="s">
        <v>273</v>
      </c>
      <c r="C59" s="61" t="s">
        <v>255</v>
      </c>
      <c r="D59" s="61" t="s">
        <v>274</v>
      </c>
      <c r="E59" s="62" t="s">
        <v>1511</v>
      </c>
      <c r="F59" s="62" t="s">
        <v>214</v>
      </c>
      <c r="G59" s="61" t="s">
        <v>1619</v>
      </c>
      <c r="H59" s="61" t="s">
        <v>1620</v>
      </c>
      <c r="I59" s="61" t="s">
        <v>1506</v>
      </c>
      <c r="J59" s="61"/>
      <c r="K59" s="61"/>
    </row>
    <row r="60" customFormat="false" ht="108" hidden="false" customHeight="true" outlineLevel="0" collapsed="false">
      <c r="A60" s="59" t="s">
        <v>1497</v>
      </c>
      <c r="B60" s="60" t="s">
        <v>273</v>
      </c>
      <c r="C60" s="61" t="s">
        <v>255</v>
      </c>
      <c r="D60" s="61" t="s">
        <v>274</v>
      </c>
      <c r="E60" s="62" t="s">
        <v>1511</v>
      </c>
      <c r="F60" s="63" t="s">
        <v>215</v>
      </c>
      <c r="G60" s="61" t="s">
        <v>1621</v>
      </c>
      <c r="H60" s="61" t="s">
        <v>1622</v>
      </c>
      <c r="I60" s="61" t="s">
        <v>1506</v>
      </c>
      <c r="J60" s="61"/>
      <c r="K60" s="61"/>
    </row>
    <row r="61" customFormat="false" ht="93" hidden="false" customHeight="true" outlineLevel="0" collapsed="false">
      <c r="A61" s="59" t="s">
        <v>1497</v>
      </c>
      <c r="B61" s="60" t="s">
        <v>282</v>
      </c>
      <c r="C61" s="61" t="s">
        <v>255</v>
      </c>
      <c r="D61" s="61" t="s">
        <v>283</v>
      </c>
      <c r="E61" s="62" t="s">
        <v>1498</v>
      </c>
      <c r="F61" s="62" t="s">
        <v>1499</v>
      </c>
      <c r="G61" s="61" t="s">
        <v>1623</v>
      </c>
      <c r="H61" s="61" t="s">
        <v>1624</v>
      </c>
      <c r="I61" s="61" t="s">
        <v>1035</v>
      </c>
      <c r="J61" s="61" t="s">
        <v>1625</v>
      </c>
      <c r="K61" s="61" t="s">
        <v>1503</v>
      </c>
    </row>
    <row r="62" customFormat="false" ht="61.5" hidden="false" customHeight="true" outlineLevel="0" collapsed="false">
      <c r="A62" s="59" t="s">
        <v>1497</v>
      </c>
      <c r="B62" s="60" t="s">
        <v>282</v>
      </c>
      <c r="C62" s="61" t="s">
        <v>255</v>
      </c>
      <c r="D62" s="61" t="s">
        <v>283</v>
      </c>
      <c r="E62" s="62" t="s">
        <v>1498</v>
      </c>
      <c r="F62" s="62" t="s">
        <v>209</v>
      </c>
      <c r="G62" s="61" t="s">
        <v>1626</v>
      </c>
      <c r="H62" s="61" t="s">
        <v>1627</v>
      </c>
      <c r="I62" s="61" t="s">
        <v>1506</v>
      </c>
      <c r="J62" s="61"/>
      <c r="K62" s="61"/>
    </row>
    <row r="63" customFormat="false" ht="61.5" hidden="false" customHeight="true" outlineLevel="0" collapsed="false">
      <c r="A63" s="59" t="s">
        <v>1497</v>
      </c>
      <c r="B63" s="60" t="s">
        <v>282</v>
      </c>
      <c r="C63" s="61" t="s">
        <v>255</v>
      </c>
      <c r="D63" s="61" t="s">
        <v>283</v>
      </c>
      <c r="E63" s="62" t="s">
        <v>1498</v>
      </c>
      <c r="F63" s="62" t="s">
        <v>210</v>
      </c>
      <c r="G63" s="61" t="s">
        <v>1628</v>
      </c>
      <c r="H63" s="61" t="s">
        <v>1629</v>
      </c>
      <c r="I63" s="61" t="s">
        <v>1506</v>
      </c>
      <c r="J63" s="61"/>
      <c r="K63" s="61"/>
    </row>
    <row r="64" customFormat="false" ht="77.25" hidden="false" customHeight="true" outlineLevel="0" collapsed="false">
      <c r="A64" s="59" t="s">
        <v>1497</v>
      </c>
      <c r="B64" s="60" t="s">
        <v>282</v>
      </c>
      <c r="C64" s="61" t="s">
        <v>255</v>
      </c>
      <c r="D64" s="61" t="s">
        <v>283</v>
      </c>
      <c r="E64" s="62" t="s">
        <v>1498</v>
      </c>
      <c r="F64" s="62" t="s">
        <v>211</v>
      </c>
      <c r="G64" s="61" t="s">
        <v>1630</v>
      </c>
      <c r="H64" s="61" t="s">
        <v>1631</v>
      </c>
      <c r="I64" s="61" t="s">
        <v>1506</v>
      </c>
      <c r="J64" s="61"/>
      <c r="K64" s="61"/>
    </row>
    <row r="65" customFormat="false" ht="77.25" hidden="false" customHeight="true" outlineLevel="0" collapsed="false">
      <c r="A65" s="59" t="s">
        <v>1497</v>
      </c>
      <c r="B65" s="60" t="s">
        <v>282</v>
      </c>
      <c r="C65" s="61" t="s">
        <v>255</v>
      </c>
      <c r="D65" s="61" t="s">
        <v>283</v>
      </c>
      <c r="E65" s="62" t="s">
        <v>1511</v>
      </c>
      <c r="F65" s="62" t="s">
        <v>1512</v>
      </c>
      <c r="G65" s="61" t="s">
        <v>1632</v>
      </c>
      <c r="H65" s="61" t="s">
        <v>1633</v>
      </c>
      <c r="I65" s="61" t="s">
        <v>1506</v>
      </c>
      <c r="J65" s="61"/>
      <c r="K65" s="61"/>
    </row>
    <row r="66" customFormat="false" ht="61.5" hidden="false" customHeight="true" outlineLevel="0" collapsed="false">
      <c r="A66" s="59" t="s">
        <v>1497</v>
      </c>
      <c r="B66" s="60" t="s">
        <v>282</v>
      </c>
      <c r="C66" s="61" t="s">
        <v>255</v>
      </c>
      <c r="D66" s="61" t="s">
        <v>283</v>
      </c>
      <c r="E66" s="62" t="s">
        <v>1511</v>
      </c>
      <c r="F66" s="62" t="s">
        <v>213</v>
      </c>
      <c r="G66" s="61" t="s">
        <v>1634</v>
      </c>
      <c r="H66" s="61" t="s">
        <v>1635</v>
      </c>
      <c r="I66" s="61" t="s">
        <v>1506</v>
      </c>
      <c r="J66" s="61"/>
      <c r="K66" s="61"/>
    </row>
    <row r="67" customFormat="false" ht="77.25" hidden="false" customHeight="true" outlineLevel="0" collapsed="false">
      <c r="A67" s="59" t="s">
        <v>1497</v>
      </c>
      <c r="B67" s="60" t="s">
        <v>282</v>
      </c>
      <c r="C67" s="61" t="s">
        <v>255</v>
      </c>
      <c r="D67" s="61" t="s">
        <v>283</v>
      </c>
      <c r="E67" s="62" t="s">
        <v>1511</v>
      </c>
      <c r="F67" s="62" t="s">
        <v>214</v>
      </c>
      <c r="G67" s="61" t="s">
        <v>1636</v>
      </c>
      <c r="H67" s="61" t="s">
        <v>1637</v>
      </c>
      <c r="I67" s="61" t="s">
        <v>1506</v>
      </c>
      <c r="J67" s="61"/>
      <c r="K67" s="61"/>
    </row>
    <row r="68" customFormat="false" ht="77.25" hidden="false" customHeight="true" outlineLevel="0" collapsed="false">
      <c r="A68" s="59" t="s">
        <v>1497</v>
      </c>
      <c r="B68" s="60" t="s">
        <v>282</v>
      </c>
      <c r="C68" s="61" t="s">
        <v>255</v>
      </c>
      <c r="D68" s="61" t="s">
        <v>283</v>
      </c>
      <c r="E68" s="62" t="s">
        <v>1511</v>
      </c>
      <c r="F68" s="63" t="s">
        <v>215</v>
      </c>
      <c r="G68" s="61" t="s">
        <v>1638</v>
      </c>
      <c r="H68" s="61" t="s">
        <v>1639</v>
      </c>
      <c r="I68" s="61" t="s">
        <v>1506</v>
      </c>
      <c r="J68" s="61"/>
      <c r="K68" s="61"/>
    </row>
    <row r="69" customFormat="false" ht="186" hidden="false" customHeight="true" outlineLevel="0" collapsed="false">
      <c r="A69" s="59" t="s">
        <v>1497</v>
      </c>
      <c r="B69" s="60" t="s">
        <v>291</v>
      </c>
      <c r="C69" s="61" t="s">
        <v>292</v>
      </c>
      <c r="D69" s="61" t="s">
        <v>293</v>
      </c>
      <c r="E69" s="62" t="s">
        <v>1498</v>
      </c>
      <c r="F69" s="62" t="s">
        <v>1499</v>
      </c>
      <c r="G69" s="61" t="s">
        <v>1640</v>
      </c>
      <c r="H69" s="61" t="s">
        <v>1641</v>
      </c>
      <c r="I69" s="61" t="s">
        <v>1041</v>
      </c>
      <c r="J69" s="61" t="s">
        <v>1642</v>
      </c>
      <c r="K69" s="61" t="s">
        <v>1503</v>
      </c>
    </row>
    <row r="70" customFormat="false" ht="186" hidden="false" customHeight="true" outlineLevel="0" collapsed="false">
      <c r="A70" s="59" t="s">
        <v>1497</v>
      </c>
      <c r="B70" s="60" t="s">
        <v>291</v>
      </c>
      <c r="C70" s="61" t="s">
        <v>292</v>
      </c>
      <c r="D70" s="61" t="s">
        <v>293</v>
      </c>
      <c r="E70" s="62" t="s">
        <v>1498</v>
      </c>
      <c r="F70" s="62" t="s">
        <v>209</v>
      </c>
      <c r="G70" s="61" t="s">
        <v>1643</v>
      </c>
      <c r="H70" s="61" t="s">
        <v>1644</v>
      </c>
      <c r="I70" s="61" t="s">
        <v>1506</v>
      </c>
      <c r="J70" s="61"/>
      <c r="K70" s="61"/>
    </row>
    <row r="71" customFormat="false" ht="186" hidden="false" customHeight="true" outlineLevel="0" collapsed="false">
      <c r="A71" s="59" t="s">
        <v>1497</v>
      </c>
      <c r="B71" s="60" t="s">
        <v>291</v>
      </c>
      <c r="C71" s="61" t="s">
        <v>292</v>
      </c>
      <c r="D71" s="61" t="s">
        <v>293</v>
      </c>
      <c r="E71" s="62" t="s">
        <v>1498</v>
      </c>
      <c r="F71" s="62" t="s">
        <v>210</v>
      </c>
      <c r="G71" s="61" t="s">
        <v>1645</v>
      </c>
      <c r="H71" s="61" t="s">
        <v>1646</v>
      </c>
      <c r="I71" s="61" t="s">
        <v>1506</v>
      </c>
      <c r="J71" s="61"/>
      <c r="K71" s="61"/>
    </row>
    <row r="72" customFormat="false" ht="186" hidden="false" customHeight="true" outlineLevel="0" collapsed="false">
      <c r="A72" s="59" t="s">
        <v>1497</v>
      </c>
      <c r="B72" s="60" t="s">
        <v>291</v>
      </c>
      <c r="C72" s="61" t="s">
        <v>292</v>
      </c>
      <c r="D72" s="61" t="s">
        <v>293</v>
      </c>
      <c r="E72" s="62" t="s">
        <v>1498</v>
      </c>
      <c r="F72" s="62" t="s">
        <v>211</v>
      </c>
      <c r="G72" s="61" t="s">
        <v>1647</v>
      </c>
      <c r="H72" s="61" t="s">
        <v>1648</v>
      </c>
      <c r="I72" s="61" t="s">
        <v>1506</v>
      </c>
      <c r="J72" s="61"/>
      <c r="K72" s="61"/>
    </row>
    <row r="73" customFormat="false" ht="186" hidden="false" customHeight="true" outlineLevel="0" collapsed="false">
      <c r="A73" s="59" t="s">
        <v>1497</v>
      </c>
      <c r="B73" s="60" t="s">
        <v>291</v>
      </c>
      <c r="C73" s="61" t="s">
        <v>292</v>
      </c>
      <c r="D73" s="61" t="s">
        <v>293</v>
      </c>
      <c r="E73" s="62" t="s">
        <v>1511</v>
      </c>
      <c r="F73" s="62" t="s">
        <v>1512</v>
      </c>
      <c r="G73" s="61" t="s">
        <v>1649</v>
      </c>
      <c r="H73" s="61" t="s">
        <v>1650</v>
      </c>
      <c r="I73" s="61" t="s">
        <v>1506</v>
      </c>
      <c r="J73" s="61"/>
      <c r="K73" s="61"/>
    </row>
    <row r="74" customFormat="false" ht="186" hidden="false" customHeight="true" outlineLevel="0" collapsed="false">
      <c r="A74" s="59" t="s">
        <v>1497</v>
      </c>
      <c r="B74" s="60" t="s">
        <v>291</v>
      </c>
      <c r="C74" s="61" t="s">
        <v>292</v>
      </c>
      <c r="D74" s="61" t="s">
        <v>293</v>
      </c>
      <c r="E74" s="62" t="s">
        <v>1511</v>
      </c>
      <c r="F74" s="62" t="s">
        <v>213</v>
      </c>
      <c r="G74" s="61" t="s">
        <v>1651</v>
      </c>
      <c r="H74" s="61" t="s">
        <v>1652</v>
      </c>
      <c r="I74" s="61" t="s">
        <v>1506</v>
      </c>
      <c r="J74" s="61"/>
      <c r="K74" s="61"/>
    </row>
    <row r="75" customFormat="false" ht="186" hidden="false" customHeight="true" outlineLevel="0" collapsed="false">
      <c r="A75" s="59" t="s">
        <v>1497</v>
      </c>
      <c r="B75" s="60" t="s">
        <v>291</v>
      </c>
      <c r="C75" s="61" t="s">
        <v>292</v>
      </c>
      <c r="D75" s="61" t="s">
        <v>293</v>
      </c>
      <c r="E75" s="62" t="s">
        <v>1511</v>
      </c>
      <c r="F75" s="62" t="s">
        <v>214</v>
      </c>
      <c r="G75" s="61" t="s">
        <v>1653</v>
      </c>
      <c r="H75" s="61" t="s">
        <v>1654</v>
      </c>
      <c r="I75" s="61" t="s">
        <v>1506</v>
      </c>
      <c r="J75" s="61"/>
      <c r="K75" s="61"/>
    </row>
    <row r="76" customFormat="false" ht="186" hidden="false" customHeight="true" outlineLevel="0" collapsed="false">
      <c r="A76" s="59" t="s">
        <v>1497</v>
      </c>
      <c r="B76" s="60" t="s">
        <v>291</v>
      </c>
      <c r="C76" s="61" t="s">
        <v>292</v>
      </c>
      <c r="D76" s="61" t="s">
        <v>293</v>
      </c>
      <c r="E76" s="62" t="s">
        <v>1511</v>
      </c>
      <c r="F76" s="63" t="s">
        <v>215</v>
      </c>
      <c r="G76" s="61" t="s">
        <v>1655</v>
      </c>
      <c r="H76" s="61" t="s">
        <v>1656</v>
      </c>
      <c r="I76" s="61" t="s">
        <v>1506</v>
      </c>
      <c r="J76" s="61"/>
      <c r="K76" s="61"/>
    </row>
    <row r="77" customFormat="false" ht="93" hidden="false" customHeight="true" outlineLevel="0" collapsed="false">
      <c r="A77" s="59" t="s">
        <v>1497</v>
      </c>
      <c r="B77" s="60" t="s">
        <v>301</v>
      </c>
      <c r="C77" s="61" t="s">
        <v>292</v>
      </c>
      <c r="D77" s="61" t="s">
        <v>302</v>
      </c>
      <c r="E77" s="62" t="s">
        <v>1498</v>
      </c>
      <c r="F77" s="62" t="s">
        <v>1499</v>
      </c>
      <c r="G77" s="61" t="s">
        <v>1657</v>
      </c>
      <c r="H77" s="61" t="s">
        <v>1658</v>
      </c>
      <c r="I77" s="61" t="s">
        <v>1047</v>
      </c>
      <c r="J77" s="61" t="s">
        <v>1659</v>
      </c>
      <c r="K77" s="61" t="s">
        <v>1503</v>
      </c>
    </row>
    <row r="78" customFormat="false" ht="61.5" hidden="false" customHeight="true" outlineLevel="0" collapsed="false">
      <c r="A78" s="59" t="s">
        <v>1497</v>
      </c>
      <c r="B78" s="60" t="s">
        <v>301</v>
      </c>
      <c r="C78" s="61" t="s">
        <v>292</v>
      </c>
      <c r="D78" s="61" t="s">
        <v>302</v>
      </c>
      <c r="E78" s="62" t="s">
        <v>1498</v>
      </c>
      <c r="F78" s="62" t="s">
        <v>209</v>
      </c>
      <c r="G78" s="61" t="s">
        <v>1660</v>
      </c>
      <c r="H78" s="61" t="s">
        <v>1661</v>
      </c>
      <c r="I78" s="61" t="s">
        <v>1506</v>
      </c>
      <c r="J78" s="61"/>
      <c r="K78" s="61"/>
    </row>
    <row r="79" customFormat="false" ht="61.5" hidden="false" customHeight="true" outlineLevel="0" collapsed="false">
      <c r="A79" s="59" t="s">
        <v>1497</v>
      </c>
      <c r="B79" s="60" t="s">
        <v>301</v>
      </c>
      <c r="C79" s="61" t="s">
        <v>292</v>
      </c>
      <c r="D79" s="61" t="s">
        <v>302</v>
      </c>
      <c r="E79" s="62" t="s">
        <v>1498</v>
      </c>
      <c r="F79" s="62" t="s">
        <v>210</v>
      </c>
      <c r="G79" s="61" t="s">
        <v>1662</v>
      </c>
      <c r="H79" s="61" t="s">
        <v>1663</v>
      </c>
      <c r="I79" s="61" t="s">
        <v>1506</v>
      </c>
      <c r="J79" s="61"/>
      <c r="K79" s="61"/>
    </row>
    <row r="80" customFormat="false" ht="61.5" hidden="false" customHeight="true" outlineLevel="0" collapsed="false">
      <c r="A80" s="59" t="s">
        <v>1497</v>
      </c>
      <c r="B80" s="60" t="s">
        <v>301</v>
      </c>
      <c r="C80" s="61" t="s">
        <v>292</v>
      </c>
      <c r="D80" s="61" t="s">
        <v>302</v>
      </c>
      <c r="E80" s="62" t="s">
        <v>1498</v>
      </c>
      <c r="F80" s="62" t="s">
        <v>211</v>
      </c>
      <c r="G80" s="61" t="s">
        <v>1664</v>
      </c>
      <c r="H80" s="61" t="s">
        <v>1665</v>
      </c>
      <c r="I80" s="61" t="s">
        <v>1506</v>
      </c>
      <c r="J80" s="61"/>
      <c r="K80" s="61"/>
    </row>
    <row r="81" customFormat="false" ht="61.5" hidden="false" customHeight="true" outlineLevel="0" collapsed="false">
      <c r="A81" s="59" t="s">
        <v>1497</v>
      </c>
      <c r="B81" s="60" t="s">
        <v>301</v>
      </c>
      <c r="C81" s="61" t="s">
        <v>292</v>
      </c>
      <c r="D81" s="61" t="s">
        <v>302</v>
      </c>
      <c r="E81" s="62" t="s">
        <v>1511</v>
      </c>
      <c r="F81" s="62" t="s">
        <v>1512</v>
      </c>
      <c r="G81" s="61" t="s">
        <v>1666</v>
      </c>
      <c r="H81" s="61" t="s">
        <v>1667</v>
      </c>
      <c r="I81" s="61" t="s">
        <v>1506</v>
      </c>
      <c r="J81" s="61"/>
      <c r="K81" s="61"/>
    </row>
    <row r="82" customFormat="false" ht="61.5" hidden="false" customHeight="true" outlineLevel="0" collapsed="false">
      <c r="A82" s="59" t="s">
        <v>1497</v>
      </c>
      <c r="B82" s="60" t="s">
        <v>301</v>
      </c>
      <c r="C82" s="61" t="s">
        <v>292</v>
      </c>
      <c r="D82" s="61" t="s">
        <v>302</v>
      </c>
      <c r="E82" s="62" t="s">
        <v>1511</v>
      </c>
      <c r="F82" s="62" t="s">
        <v>213</v>
      </c>
      <c r="G82" s="61" t="s">
        <v>1668</v>
      </c>
      <c r="H82" s="61" t="s">
        <v>1669</v>
      </c>
      <c r="I82" s="61" t="s">
        <v>1506</v>
      </c>
      <c r="J82" s="61"/>
      <c r="K82" s="61"/>
    </row>
    <row r="83" customFormat="false" ht="61.5" hidden="false" customHeight="true" outlineLevel="0" collapsed="false">
      <c r="A83" s="59" t="s">
        <v>1497</v>
      </c>
      <c r="B83" s="60" t="s">
        <v>301</v>
      </c>
      <c r="C83" s="61" t="s">
        <v>292</v>
      </c>
      <c r="D83" s="61" t="s">
        <v>302</v>
      </c>
      <c r="E83" s="62" t="s">
        <v>1511</v>
      </c>
      <c r="F83" s="62" t="s">
        <v>214</v>
      </c>
      <c r="G83" s="61" t="s">
        <v>1670</v>
      </c>
      <c r="H83" s="61" t="s">
        <v>1671</v>
      </c>
      <c r="I83" s="61" t="s">
        <v>1506</v>
      </c>
      <c r="J83" s="61"/>
      <c r="K83" s="61"/>
    </row>
    <row r="84" customFormat="false" ht="77.25" hidden="false" customHeight="true" outlineLevel="0" collapsed="false">
      <c r="A84" s="59" t="s">
        <v>1497</v>
      </c>
      <c r="B84" s="60" t="s">
        <v>301</v>
      </c>
      <c r="C84" s="61" t="s">
        <v>292</v>
      </c>
      <c r="D84" s="61" t="s">
        <v>302</v>
      </c>
      <c r="E84" s="62" t="s">
        <v>1511</v>
      </c>
      <c r="F84" s="63" t="s">
        <v>215</v>
      </c>
      <c r="G84" s="61" t="s">
        <v>1672</v>
      </c>
      <c r="H84" s="61" t="s">
        <v>1673</v>
      </c>
      <c r="I84" s="61" t="s">
        <v>1506</v>
      </c>
      <c r="J84" s="61"/>
      <c r="K84" s="61"/>
    </row>
    <row r="85" customFormat="false" ht="93" hidden="false" customHeight="true" outlineLevel="0" collapsed="false">
      <c r="A85" s="59" t="s">
        <v>1497</v>
      </c>
      <c r="B85" s="60" t="s">
        <v>310</v>
      </c>
      <c r="C85" s="61" t="s">
        <v>311</v>
      </c>
      <c r="D85" s="61" t="s">
        <v>312</v>
      </c>
      <c r="E85" s="62" t="s">
        <v>1498</v>
      </c>
      <c r="F85" s="62" t="s">
        <v>1499</v>
      </c>
      <c r="G85" s="61" t="s">
        <v>1674</v>
      </c>
      <c r="H85" s="61" t="s">
        <v>1675</v>
      </c>
      <c r="I85" s="61" t="s">
        <v>1053</v>
      </c>
      <c r="J85" s="61" t="s">
        <v>1676</v>
      </c>
      <c r="K85" s="61" t="s">
        <v>1503</v>
      </c>
    </row>
    <row r="86" customFormat="false" ht="77.25" hidden="false" customHeight="true" outlineLevel="0" collapsed="false">
      <c r="A86" s="59" t="s">
        <v>1497</v>
      </c>
      <c r="B86" s="60" t="s">
        <v>310</v>
      </c>
      <c r="C86" s="61" t="s">
        <v>311</v>
      </c>
      <c r="D86" s="61" t="s">
        <v>312</v>
      </c>
      <c r="E86" s="62" t="s">
        <v>1498</v>
      </c>
      <c r="F86" s="62" t="s">
        <v>209</v>
      </c>
      <c r="G86" s="61" t="s">
        <v>1677</v>
      </c>
      <c r="H86" s="61" t="s">
        <v>1678</v>
      </c>
      <c r="I86" s="61" t="s">
        <v>1506</v>
      </c>
      <c r="J86" s="61"/>
      <c r="K86" s="61"/>
    </row>
    <row r="87" customFormat="false" ht="77.25" hidden="false" customHeight="true" outlineLevel="0" collapsed="false">
      <c r="A87" s="59" t="s">
        <v>1497</v>
      </c>
      <c r="B87" s="60" t="s">
        <v>310</v>
      </c>
      <c r="C87" s="61" t="s">
        <v>311</v>
      </c>
      <c r="D87" s="61" t="s">
        <v>312</v>
      </c>
      <c r="E87" s="62" t="s">
        <v>1498</v>
      </c>
      <c r="F87" s="62" t="s">
        <v>210</v>
      </c>
      <c r="G87" s="61" t="s">
        <v>1679</v>
      </c>
      <c r="H87" s="61" t="s">
        <v>1680</v>
      </c>
      <c r="I87" s="61" t="s">
        <v>1506</v>
      </c>
      <c r="J87" s="61"/>
      <c r="K87" s="61"/>
    </row>
    <row r="88" customFormat="false" ht="77.25" hidden="false" customHeight="true" outlineLevel="0" collapsed="false">
      <c r="A88" s="59" t="s">
        <v>1497</v>
      </c>
      <c r="B88" s="60" t="s">
        <v>310</v>
      </c>
      <c r="C88" s="61" t="s">
        <v>311</v>
      </c>
      <c r="D88" s="61" t="s">
        <v>312</v>
      </c>
      <c r="E88" s="62" t="s">
        <v>1498</v>
      </c>
      <c r="F88" s="62" t="s">
        <v>211</v>
      </c>
      <c r="G88" s="61" t="s">
        <v>1681</v>
      </c>
      <c r="H88" s="61" t="s">
        <v>1682</v>
      </c>
      <c r="I88" s="61" t="s">
        <v>1506</v>
      </c>
      <c r="J88" s="61"/>
      <c r="K88" s="61"/>
    </row>
    <row r="89" customFormat="false" ht="77.25" hidden="false" customHeight="true" outlineLevel="0" collapsed="false">
      <c r="A89" s="59" t="s">
        <v>1497</v>
      </c>
      <c r="B89" s="60" t="s">
        <v>310</v>
      </c>
      <c r="C89" s="61" t="s">
        <v>311</v>
      </c>
      <c r="D89" s="61" t="s">
        <v>312</v>
      </c>
      <c r="E89" s="62" t="s">
        <v>1511</v>
      </c>
      <c r="F89" s="62" t="s">
        <v>1512</v>
      </c>
      <c r="G89" s="61" t="s">
        <v>1683</v>
      </c>
      <c r="H89" s="61" t="s">
        <v>1684</v>
      </c>
      <c r="I89" s="61" t="s">
        <v>1506</v>
      </c>
      <c r="J89" s="61"/>
      <c r="K89" s="61"/>
    </row>
    <row r="90" customFormat="false" ht="77.25" hidden="false" customHeight="true" outlineLevel="0" collapsed="false">
      <c r="A90" s="59" t="s">
        <v>1497</v>
      </c>
      <c r="B90" s="60" t="s">
        <v>310</v>
      </c>
      <c r="C90" s="61" t="s">
        <v>311</v>
      </c>
      <c r="D90" s="61" t="s">
        <v>312</v>
      </c>
      <c r="E90" s="62" t="s">
        <v>1511</v>
      </c>
      <c r="F90" s="62" t="s">
        <v>213</v>
      </c>
      <c r="G90" s="61" t="s">
        <v>1685</v>
      </c>
      <c r="H90" s="61" t="s">
        <v>1686</v>
      </c>
      <c r="I90" s="61" t="s">
        <v>1506</v>
      </c>
      <c r="J90" s="61"/>
      <c r="K90" s="61"/>
    </row>
    <row r="91" customFormat="false" ht="77.25" hidden="false" customHeight="true" outlineLevel="0" collapsed="false">
      <c r="A91" s="59" t="s">
        <v>1497</v>
      </c>
      <c r="B91" s="60" t="s">
        <v>310</v>
      </c>
      <c r="C91" s="61" t="s">
        <v>311</v>
      </c>
      <c r="D91" s="61" t="s">
        <v>312</v>
      </c>
      <c r="E91" s="62" t="s">
        <v>1511</v>
      </c>
      <c r="F91" s="62" t="s">
        <v>214</v>
      </c>
      <c r="G91" s="61" t="s">
        <v>1687</v>
      </c>
      <c r="H91" s="61" t="s">
        <v>1688</v>
      </c>
      <c r="I91" s="61" t="s">
        <v>1506</v>
      </c>
      <c r="J91" s="61"/>
      <c r="K91" s="61"/>
    </row>
    <row r="92" customFormat="false" ht="108" hidden="false" customHeight="true" outlineLevel="0" collapsed="false">
      <c r="A92" s="59" t="s">
        <v>1497</v>
      </c>
      <c r="B92" s="60" t="s">
        <v>310</v>
      </c>
      <c r="C92" s="61" t="s">
        <v>311</v>
      </c>
      <c r="D92" s="61" t="s">
        <v>312</v>
      </c>
      <c r="E92" s="62" t="s">
        <v>1511</v>
      </c>
      <c r="F92" s="63" t="s">
        <v>215</v>
      </c>
      <c r="G92" s="61" t="s">
        <v>1689</v>
      </c>
      <c r="H92" s="61" t="s">
        <v>1690</v>
      </c>
      <c r="I92" s="61" t="s">
        <v>1506</v>
      </c>
      <c r="J92" s="61"/>
      <c r="K92" s="61"/>
    </row>
    <row r="93" customFormat="false" ht="93" hidden="false" customHeight="true" outlineLevel="0" collapsed="false">
      <c r="A93" s="59" t="s">
        <v>1497</v>
      </c>
      <c r="B93" s="60" t="s">
        <v>320</v>
      </c>
      <c r="C93" s="61" t="s">
        <v>311</v>
      </c>
      <c r="D93" s="61" t="s">
        <v>321</v>
      </c>
      <c r="E93" s="62" t="s">
        <v>1498</v>
      </c>
      <c r="F93" s="62" t="s">
        <v>1499</v>
      </c>
      <c r="G93" s="61" t="s">
        <v>1691</v>
      </c>
      <c r="H93" s="61" t="s">
        <v>1692</v>
      </c>
      <c r="I93" s="61" t="s">
        <v>1059</v>
      </c>
      <c r="J93" s="61" t="s">
        <v>1693</v>
      </c>
      <c r="K93" s="61" t="s">
        <v>1503</v>
      </c>
    </row>
    <row r="94" customFormat="false" ht="77.25" hidden="false" customHeight="true" outlineLevel="0" collapsed="false">
      <c r="A94" s="59" t="s">
        <v>1497</v>
      </c>
      <c r="B94" s="60" t="s">
        <v>320</v>
      </c>
      <c r="C94" s="61" t="s">
        <v>311</v>
      </c>
      <c r="D94" s="61" t="s">
        <v>321</v>
      </c>
      <c r="E94" s="62" t="s">
        <v>1498</v>
      </c>
      <c r="F94" s="62" t="s">
        <v>209</v>
      </c>
      <c r="G94" s="61" t="s">
        <v>1694</v>
      </c>
      <c r="H94" s="61" t="s">
        <v>1695</v>
      </c>
      <c r="I94" s="61" t="s">
        <v>1506</v>
      </c>
      <c r="J94" s="61"/>
      <c r="K94" s="61"/>
    </row>
    <row r="95" customFormat="false" ht="77.25" hidden="false" customHeight="true" outlineLevel="0" collapsed="false">
      <c r="A95" s="59" t="s">
        <v>1497</v>
      </c>
      <c r="B95" s="60" t="s">
        <v>320</v>
      </c>
      <c r="C95" s="61" t="s">
        <v>311</v>
      </c>
      <c r="D95" s="61" t="s">
        <v>321</v>
      </c>
      <c r="E95" s="62" t="s">
        <v>1498</v>
      </c>
      <c r="F95" s="62" t="s">
        <v>210</v>
      </c>
      <c r="G95" s="61" t="s">
        <v>1696</v>
      </c>
      <c r="H95" s="61" t="s">
        <v>1697</v>
      </c>
      <c r="I95" s="61" t="s">
        <v>1506</v>
      </c>
      <c r="J95" s="61"/>
      <c r="K95" s="61"/>
    </row>
    <row r="96" customFormat="false" ht="77.25" hidden="false" customHeight="true" outlineLevel="0" collapsed="false">
      <c r="A96" s="59" t="s">
        <v>1497</v>
      </c>
      <c r="B96" s="60" t="s">
        <v>320</v>
      </c>
      <c r="C96" s="61" t="s">
        <v>311</v>
      </c>
      <c r="D96" s="61" t="s">
        <v>321</v>
      </c>
      <c r="E96" s="62" t="s">
        <v>1498</v>
      </c>
      <c r="F96" s="62" t="s">
        <v>211</v>
      </c>
      <c r="G96" s="61" t="s">
        <v>1698</v>
      </c>
      <c r="H96" s="61" t="s">
        <v>1699</v>
      </c>
      <c r="I96" s="61" t="s">
        <v>1506</v>
      </c>
      <c r="J96" s="61"/>
      <c r="K96" s="61"/>
    </row>
    <row r="97" customFormat="false" ht="77.25" hidden="false" customHeight="true" outlineLevel="0" collapsed="false">
      <c r="A97" s="59" t="s">
        <v>1497</v>
      </c>
      <c r="B97" s="60" t="s">
        <v>320</v>
      </c>
      <c r="C97" s="61" t="s">
        <v>311</v>
      </c>
      <c r="D97" s="61" t="s">
        <v>321</v>
      </c>
      <c r="E97" s="62" t="s">
        <v>1511</v>
      </c>
      <c r="F97" s="62" t="s">
        <v>1512</v>
      </c>
      <c r="G97" s="61" t="s">
        <v>1700</v>
      </c>
      <c r="H97" s="61" t="s">
        <v>1701</v>
      </c>
      <c r="I97" s="61" t="s">
        <v>1506</v>
      </c>
      <c r="J97" s="61"/>
      <c r="K97" s="61"/>
    </row>
    <row r="98" customFormat="false" ht="77.25" hidden="false" customHeight="true" outlineLevel="0" collapsed="false">
      <c r="A98" s="59" t="s">
        <v>1497</v>
      </c>
      <c r="B98" s="60" t="s">
        <v>320</v>
      </c>
      <c r="C98" s="61" t="s">
        <v>311</v>
      </c>
      <c r="D98" s="61" t="s">
        <v>321</v>
      </c>
      <c r="E98" s="62" t="s">
        <v>1511</v>
      </c>
      <c r="F98" s="62" t="s">
        <v>213</v>
      </c>
      <c r="G98" s="61" t="s">
        <v>1702</v>
      </c>
      <c r="H98" s="61" t="s">
        <v>1703</v>
      </c>
      <c r="I98" s="61" t="s">
        <v>1506</v>
      </c>
      <c r="J98" s="61"/>
      <c r="K98" s="61"/>
    </row>
    <row r="99" customFormat="false" ht="77.25" hidden="false" customHeight="true" outlineLevel="0" collapsed="false">
      <c r="A99" s="59" t="s">
        <v>1497</v>
      </c>
      <c r="B99" s="60" t="s">
        <v>320</v>
      </c>
      <c r="C99" s="61" t="s">
        <v>311</v>
      </c>
      <c r="D99" s="61" t="s">
        <v>321</v>
      </c>
      <c r="E99" s="62" t="s">
        <v>1511</v>
      </c>
      <c r="F99" s="62" t="s">
        <v>214</v>
      </c>
      <c r="G99" s="61" t="s">
        <v>1704</v>
      </c>
      <c r="H99" s="61" t="s">
        <v>1705</v>
      </c>
      <c r="I99" s="61" t="s">
        <v>1506</v>
      </c>
      <c r="J99" s="61"/>
      <c r="K99" s="61"/>
    </row>
    <row r="100" customFormat="false" ht="93" hidden="false" customHeight="true" outlineLevel="0" collapsed="false">
      <c r="A100" s="59" t="s">
        <v>1497</v>
      </c>
      <c r="B100" s="60" t="s">
        <v>320</v>
      </c>
      <c r="C100" s="61" t="s">
        <v>311</v>
      </c>
      <c r="D100" s="61" t="s">
        <v>321</v>
      </c>
      <c r="E100" s="62" t="s">
        <v>1511</v>
      </c>
      <c r="F100" s="63" t="s">
        <v>215</v>
      </c>
      <c r="G100" s="61" t="s">
        <v>1706</v>
      </c>
      <c r="H100" s="61" t="s">
        <v>1707</v>
      </c>
      <c r="I100" s="61" t="s">
        <v>1506</v>
      </c>
      <c r="J100" s="61"/>
      <c r="K100" s="61"/>
    </row>
    <row r="101" customFormat="false" ht="93" hidden="false" customHeight="true" outlineLevel="0" collapsed="false">
      <c r="A101" s="59" t="s">
        <v>1497</v>
      </c>
      <c r="B101" s="60" t="s">
        <v>329</v>
      </c>
      <c r="C101" s="61" t="s">
        <v>330</v>
      </c>
      <c r="D101" s="61" t="s">
        <v>331</v>
      </c>
      <c r="E101" s="62" t="s">
        <v>1498</v>
      </c>
      <c r="F101" s="62" t="s">
        <v>1499</v>
      </c>
      <c r="G101" s="61" t="s">
        <v>1708</v>
      </c>
      <c r="H101" s="61" t="s">
        <v>1709</v>
      </c>
      <c r="I101" s="61" t="s">
        <v>1065</v>
      </c>
      <c r="J101" s="61" t="s">
        <v>1710</v>
      </c>
      <c r="K101" s="61" t="s">
        <v>1503</v>
      </c>
    </row>
    <row r="102" customFormat="false" ht="61.5" hidden="false" customHeight="true" outlineLevel="0" collapsed="false">
      <c r="A102" s="59" t="s">
        <v>1497</v>
      </c>
      <c r="B102" s="60" t="s">
        <v>329</v>
      </c>
      <c r="C102" s="61" t="s">
        <v>330</v>
      </c>
      <c r="D102" s="61" t="s">
        <v>331</v>
      </c>
      <c r="E102" s="62" t="s">
        <v>1498</v>
      </c>
      <c r="F102" s="62" t="s">
        <v>209</v>
      </c>
      <c r="G102" s="61" t="s">
        <v>1711</v>
      </c>
      <c r="H102" s="61" t="s">
        <v>1712</v>
      </c>
      <c r="I102" s="61" t="s">
        <v>1506</v>
      </c>
      <c r="J102" s="61"/>
      <c r="K102" s="61"/>
    </row>
    <row r="103" customFormat="false" ht="61.5" hidden="false" customHeight="true" outlineLevel="0" collapsed="false">
      <c r="A103" s="59" t="s">
        <v>1497</v>
      </c>
      <c r="B103" s="60" t="s">
        <v>329</v>
      </c>
      <c r="C103" s="61" t="s">
        <v>330</v>
      </c>
      <c r="D103" s="61" t="s">
        <v>331</v>
      </c>
      <c r="E103" s="62" t="s">
        <v>1498</v>
      </c>
      <c r="F103" s="62" t="s">
        <v>210</v>
      </c>
      <c r="G103" s="61" t="s">
        <v>1713</v>
      </c>
      <c r="H103" s="61" t="s">
        <v>1714</v>
      </c>
      <c r="I103" s="61" t="s">
        <v>1506</v>
      </c>
      <c r="J103" s="61"/>
      <c r="K103" s="61"/>
    </row>
    <row r="104" customFormat="false" ht="61.5" hidden="false" customHeight="true" outlineLevel="0" collapsed="false">
      <c r="A104" s="59" t="s">
        <v>1497</v>
      </c>
      <c r="B104" s="60" t="s">
        <v>329</v>
      </c>
      <c r="C104" s="61" t="s">
        <v>330</v>
      </c>
      <c r="D104" s="61" t="s">
        <v>331</v>
      </c>
      <c r="E104" s="62" t="s">
        <v>1498</v>
      </c>
      <c r="F104" s="62" t="s">
        <v>211</v>
      </c>
      <c r="G104" s="61" t="s">
        <v>1715</v>
      </c>
      <c r="H104" s="61" t="s">
        <v>1716</v>
      </c>
      <c r="I104" s="61" t="s">
        <v>1506</v>
      </c>
      <c r="J104" s="61"/>
      <c r="K104" s="61"/>
    </row>
    <row r="105" customFormat="false" ht="61.5" hidden="false" customHeight="true" outlineLevel="0" collapsed="false">
      <c r="A105" s="59" t="s">
        <v>1497</v>
      </c>
      <c r="B105" s="60" t="s">
        <v>329</v>
      </c>
      <c r="C105" s="61" t="s">
        <v>330</v>
      </c>
      <c r="D105" s="61" t="s">
        <v>331</v>
      </c>
      <c r="E105" s="62" t="s">
        <v>1511</v>
      </c>
      <c r="F105" s="62" t="s">
        <v>1512</v>
      </c>
      <c r="G105" s="61" t="s">
        <v>1717</v>
      </c>
      <c r="H105" s="61" t="s">
        <v>1718</v>
      </c>
      <c r="I105" s="61" t="s">
        <v>1506</v>
      </c>
      <c r="J105" s="61"/>
      <c r="K105" s="61"/>
    </row>
    <row r="106" customFormat="false" ht="61.5" hidden="false" customHeight="true" outlineLevel="0" collapsed="false">
      <c r="A106" s="59" t="s">
        <v>1497</v>
      </c>
      <c r="B106" s="60" t="s">
        <v>329</v>
      </c>
      <c r="C106" s="61" t="s">
        <v>330</v>
      </c>
      <c r="D106" s="61" t="s">
        <v>331</v>
      </c>
      <c r="E106" s="62" t="s">
        <v>1511</v>
      </c>
      <c r="F106" s="62" t="s">
        <v>213</v>
      </c>
      <c r="G106" s="61" t="s">
        <v>1719</v>
      </c>
      <c r="H106" s="61" t="s">
        <v>1720</v>
      </c>
      <c r="I106" s="61" t="s">
        <v>1506</v>
      </c>
      <c r="J106" s="61"/>
      <c r="K106" s="61"/>
    </row>
    <row r="107" customFormat="false" ht="61.5" hidden="false" customHeight="true" outlineLevel="0" collapsed="false">
      <c r="A107" s="59" t="s">
        <v>1497</v>
      </c>
      <c r="B107" s="60" t="s">
        <v>329</v>
      </c>
      <c r="C107" s="61" t="s">
        <v>330</v>
      </c>
      <c r="D107" s="61" t="s">
        <v>331</v>
      </c>
      <c r="E107" s="62" t="s">
        <v>1511</v>
      </c>
      <c r="F107" s="62" t="s">
        <v>214</v>
      </c>
      <c r="G107" s="61" t="s">
        <v>1721</v>
      </c>
      <c r="H107" s="61" t="s">
        <v>1722</v>
      </c>
      <c r="I107" s="61" t="s">
        <v>1506</v>
      </c>
      <c r="J107" s="61"/>
      <c r="K107" s="61"/>
    </row>
    <row r="108" customFormat="false" ht="93" hidden="false" customHeight="true" outlineLevel="0" collapsed="false">
      <c r="A108" s="59" t="s">
        <v>1497</v>
      </c>
      <c r="B108" s="60" t="s">
        <v>329</v>
      </c>
      <c r="C108" s="61" t="s">
        <v>330</v>
      </c>
      <c r="D108" s="61" t="s">
        <v>331</v>
      </c>
      <c r="E108" s="62" t="s">
        <v>1511</v>
      </c>
      <c r="F108" s="63" t="s">
        <v>215</v>
      </c>
      <c r="G108" s="61" t="s">
        <v>1723</v>
      </c>
      <c r="H108" s="61" t="s">
        <v>1724</v>
      </c>
      <c r="I108" s="61" t="s">
        <v>1506</v>
      </c>
      <c r="J108" s="61"/>
      <c r="K108" s="61"/>
    </row>
    <row r="109" customFormat="false" ht="108" hidden="false" customHeight="true" outlineLevel="0" collapsed="false">
      <c r="A109" s="59" t="s">
        <v>1497</v>
      </c>
      <c r="B109" s="60" t="s">
        <v>339</v>
      </c>
      <c r="C109" s="61" t="s">
        <v>330</v>
      </c>
      <c r="D109" s="61" t="s">
        <v>340</v>
      </c>
      <c r="E109" s="62" t="s">
        <v>1498</v>
      </c>
      <c r="F109" s="62" t="s">
        <v>1499</v>
      </c>
      <c r="G109" s="61" t="s">
        <v>1725</v>
      </c>
      <c r="H109" s="61" t="s">
        <v>1726</v>
      </c>
      <c r="I109" s="61" t="s">
        <v>1071</v>
      </c>
      <c r="J109" s="61" t="s">
        <v>1727</v>
      </c>
      <c r="K109" s="61" t="s">
        <v>1503</v>
      </c>
    </row>
    <row r="110" customFormat="false" ht="108" hidden="false" customHeight="true" outlineLevel="0" collapsed="false">
      <c r="A110" s="59" t="s">
        <v>1497</v>
      </c>
      <c r="B110" s="60" t="s">
        <v>339</v>
      </c>
      <c r="C110" s="61" t="s">
        <v>330</v>
      </c>
      <c r="D110" s="61" t="s">
        <v>340</v>
      </c>
      <c r="E110" s="62" t="s">
        <v>1498</v>
      </c>
      <c r="F110" s="62" t="s">
        <v>209</v>
      </c>
      <c r="G110" s="61" t="s">
        <v>1728</v>
      </c>
      <c r="H110" s="61" t="s">
        <v>1729</v>
      </c>
      <c r="I110" s="61" t="s">
        <v>1506</v>
      </c>
      <c r="J110" s="61"/>
      <c r="K110" s="61"/>
    </row>
    <row r="111" customFormat="false" ht="108" hidden="false" customHeight="true" outlineLevel="0" collapsed="false">
      <c r="A111" s="59" t="s">
        <v>1497</v>
      </c>
      <c r="B111" s="60" t="s">
        <v>339</v>
      </c>
      <c r="C111" s="61" t="s">
        <v>330</v>
      </c>
      <c r="D111" s="61" t="s">
        <v>340</v>
      </c>
      <c r="E111" s="62" t="s">
        <v>1498</v>
      </c>
      <c r="F111" s="62" t="s">
        <v>210</v>
      </c>
      <c r="G111" s="61" t="s">
        <v>1730</v>
      </c>
      <c r="H111" s="61" t="s">
        <v>1731</v>
      </c>
      <c r="I111" s="61" t="s">
        <v>1506</v>
      </c>
      <c r="J111" s="61"/>
      <c r="K111" s="61"/>
    </row>
    <row r="112" customFormat="false" ht="108" hidden="false" customHeight="true" outlineLevel="0" collapsed="false">
      <c r="A112" s="59" t="s">
        <v>1497</v>
      </c>
      <c r="B112" s="60" t="s">
        <v>339</v>
      </c>
      <c r="C112" s="61" t="s">
        <v>330</v>
      </c>
      <c r="D112" s="61" t="s">
        <v>340</v>
      </c>
      <c r="E112" s="62" t="s">
        <v>1498</v>
      </c>
      <c r="F112" s="62" t="s">
        <v>211</v>
      </c>
      <c r="G112" s="61" t="s">
        <v>1732</v>
      </c>
      <c r="H112" s="61" t="s">
        <v>1733</v>
      </c>
      <c r="I112" s="61" t="s">
        <v>1506</v>
      </c>
      <c r="J112" s="61"/>
      <c r="K112" s="61"/>
    </row>
    <row r="113" customFormat="false" ht="108" hidden="false" customHeight="true" outlineLevel="0" collapsed="false">
      <c r="A113" s="59" t="s">
        <v>1497</v>
      </c>
      <c r="B113" s="60" t="s">
        <v>339</v>
      </c>
      <c r="C113" s="61" t="s">
        <v>330</v>
      </c>
      <c r="D113" s="61" t="s">
        <v>340</v>
      </c>
      <c r="E113" s="62" t="s">
        <v>1511</v>
      </c>
      <c r="F113" s="62" t="s">
        <v>1512</v>
      </c>
      <c r="G113" s="61" t="s">
        <v>1734</v>
      </c>
      <c r="H113" s="61" t="s">
        <v>1735</v>
      </c>
      <c r="I113" s="61" t="s">
        <v>1506</v>
      </c>
      <c r="J113" s="61"/>
      <c r="K113" s="61"/>
    </row>
    <row r="114" customFormat="false" ht="108" hidden="false" customHeight="true" outlineLevel="0" collapsed="false">
      <c r="A114" s="59" t="s">
        <v>1497</v>
      </c>
      <c r="B114" s="60" t="s">
        <v>339</v>
      </c>
      <c r="C114" s="61" t="s">
        <v>330</v>
      </c>
      <c r="D114" s="61" t="s">
        <v>340</v>
      </c>
      <c r="E114" s="62" t="s">
        <v>1511</v>
      </c>
      <c r="F114" s="62" t="s">
        <v>213</v>
      </c>
      <c r="G114" s="61" t="s">
        <v>1736</v>
      </c>
      <c r="H114" s="61" t="s">
        <v>1737</v>
      </c>
      <c r="I114" s="61" t="s">
        <v>1506</v>
      </c>
      <c r="J114" s="61"/>
      <c r="K114" s="61"/>
    </row>
    <row r="115" customFormat="false" ht="108" hidden="false" customHeight="true" outlineLevel="0" collapsed="false">
      <c r="A115" s="59" t="s">
        <v>1497</v>
      </c>
      <c r="B115" s="60" t="s">
        <v>339</v>
      </c>
      <c r="C115" s="61" t="s">
        <v>330</v>
      </c>
      <c r="D115" s="61" t="s">
        <v>340</v>
      </c>
      <c r="E115" s="62" t="s">
        <v>1511</v>
      </c>
      <c r="F115" s="62" t="s">
        <v>214</v>
      </c>
      <c r="G115" s="61" t="s">
        <v>1738</v>
      </c>
      <c r="H115" s="61" t="s">
        <v>1739</v>
      </c>
      <c r="I115" s="61" t="s">
        <v>1506</v>
      </c>
      <c r="J115" s="61"/>
      <c r="K115" s="61"/>
    </row>
    <row r="116" customFormat="false" ht="123.75" hidden="false" customHeight="true" outlineLevel="0" collapsed="false">
      <c r="A116" s="59" t="s">
        <v>1497</v>
      </c>
      <c r="B116" s="60" t="s">
        <v>339</v>
      </c>
      <c r="C116" s="61" t="s">
        <v>330</v>
      </c>
      <c r="D116" s="61" t="s">
        <v>340</v>
      </c>
      <c r="E116" s="62" t="s">
        <v>1511</v>
      </c>
      <c r="F116" s="63" t="s">
        <v>215</v>
      </c>
      <c r="G116" s="61" t="s">
        <v>1740</v>
      </c>
      <c r="H116" s="61" t="s">
        <v>1741</v>
      </c>
      <c r="I116" s="61" t="s">
        <v>1506</v>
      </c>
      <c r="J116" s="61"/>
      <c r="K116" s="61"/>
    </row>
    <row r="117" customFormat="false" ht="93" hidden="false" customHeight="true" outlineLevel="0" collapsed="false">
      <c r="A117" s="59" t="s">
        <v>1497</v>
      </c>
      <c r="B117" s="60" t="s">
        <v>348</v>
      </c>
      <c r="C117" s="61" t="s">
        <v>330</v>
      </c>
      <c r="D117" s="61" t="s">
        <v>349</v>
      </c>
      <c r="E117" s="62" t="s">
        <v>1498</v>
      </c>
      <c r="F117" s="62" t="s">
        <v>1499</v>
      </c>
      <c r="G117" s="61" t="s">
        <v>1742</v>
      </c>
      <c r="H117" s="61" t="s">
        <v>1743</v>
      </c>
      <c r="I117" s="61" t="s">
        <v>1077</v>
      </c>
      <c r="J117" s="61" t="s">
        <v>1744</v>
      </c>
      <c r="K117" s="61" t="s">
        <v>1503</v>
      </c>
    </row>
    <row r="118" customFormat="false" ht="61.5" hidden="false" customHeight="true" outlineLevel="0" collapsed="false">
      <c r="A118" s="59" t="s">
        <v>1497</v>
      </c>
      <c r="B118" s="60" t="s">
        <v>348</v>
      </c>
      <c r="C118" s="61" t="s">
        <v>330</v>
      </c>
      <c r="D118" s="61" t="s">
        <v>349</v>
      </c>
      <c r="E118" s="62" t="s">
        <v>1498</v>
      </c>
      <c r="F118" s="62" t="s">
        <v>209</v>
      </c>
      <c r="G118" s="61" t="s">
        <v>1745</v>
      </c>
      <c r="H118" s="61" t="s">
        <v>1746</v>
      </c>
      <c r="I118" s="61" t="s">
        <v>1506</v>
      </c>
      <c r="J118" s="61"/>
      <c r="K118" s="61"/>
    </row>
    <row r="119" customFormat="false" ht="61.5" hidden="false" customHeight="true" outlineLevel="0" collapsed="false">
      <c r="A119" s="59" t="s">
        <v>1497</v>
      </c>
      <c r="B119" s="60" t="s">
        <v>348</v>
      </c>
      <c r="C119" s="61" t="s">
        <v>330</v>
      </c>
      <c r="D119" s="61" t="s">
        <v>349</v>
      </c>
      <c r="E119" s="62" t="s">
        <v>1498</v>
      </c>
      <c r="F119" s="62" t="s">
        <v>210</v>
      </c>
      <c r="G119" s="61" t="s">
        <v>1747</v>
      </c>
      <c r="H119" s="61" t="s">
        <v>1748</v>
      </c>
      <c r="I119" s="61" t="s">
        <v>1506</v>
      </c>
      <c r="J119" s="61"/>
      <c r="K119" s="61"/>
    </row>
    <row r="120" customFormat="false" ht="61.5" hidden="false" customHeight="true" outlineLevel="0" collapsed="false">
      <c r="A120" s="59" t="s">
        <v>1497</v>
      </c>
      <c r="B120" s="60" t="s">
        <v>348</v>
      </c>
      <c r="C120" s="61" t="s">
        <v>330</v>
      </c>
      <c r="D120" s="61" t="s">
        <v>349</v>
      </c>
      <c r="E120" s="62" t="s">
        <v>1498</v>
      </c>
      <c r="F120" s="62" t="s">
        <v>211</v>
      </c>
      <c r="G120" s="61" t="s">
        <v>1749</v>
      </c>
      <c r="H120" s="61" t="s">
        <v>1750</v>
      </c>
      <c r="I120" s="61" t="s">
        <v>1506</v>
      </c>
      <c r="J120" s="61"/>
      <c r="K120" s="61"/>
    </row>
    <row r="121" customFormat="false" ht="61.5" hidden="false" customHeight="true" outlineLevel="0" collapsed="false">
      <c r="A121" s="59" t="s">
        <v>1497</v>
      </c>
      <c r="B121" s="60" t="s">
        <v>348</v>
      </c>
      <c r="C121" s="61" t="s">
        <v>330</v>
      </c>
      <c r="D121" s="61" t="s">
        <v>349</v>
      </c>
      <c r="E121" s="62" t="s">
        <v>1511</v>
      </c>
      <c r="F121" s="62" t="s">
        <v>1512</v>
      </c>
      <c r="G121" s="61" t="s">
        <v>1751</v>
      </c>
      <c r="H121" s="61" t="s">
        <v>1752</v>
      </c>
      <c r="I121" s="61" t="s">
        <v>1506</v>
      </c>
      <c r="J121" s="61"/>
      <c r="K121" s="61"/>
    </row>
    <row r="122" customFormat="false" ht="61.5" hidden="false" customHeight="true" outlineLevel="0" collapsed="false">
      <c r="A122" s="59" t="s">
        <v>1497</v>
      </c>
      <c r="B122" s="60" t="s">
        <v>348</v>
      </c>
      <c r="C122" s="61" t="s">
        <v>330</v>
      </c>
      <c r="D122" s="61" t="s">
        <v>349</v>
      </c>
      <c r="E122" s="62" t="s">
        <v>1511</v>
      </c>
      <c r="F122" s="62" t="s">
        <v>213</v>
      </c>
      <c r="G122" s="61" t="s">
        <v>1753</v>
      </c>
      <c r="H122" s="61" t="s">
        <v>1754</v>
      </c>
      <c r="I122" s="61" t="s">
        <v>1506</v>
      </c>
      <c r="J122" s="61"/>
      <c r="K122" s="61"/>
    </row>
    <row r="123" customFormat="false" ht="61.5" hidden="false" customHeight="true" outlineLevel="0" collapsed="false">
      <c r="A123" s="59" t="s">
        <v>1497</v>
      </c>
      <c r="B123" s="60" t="s">
        <v>348</v>
      </c>
      <c r="C123" s="61" t="s">
        <v>330</v>
      </c>
      <c r="D123" s="61" t="s">
        <v>349</v>
      </c>
      <c r="E123" s="62" t="s">
        <v>1511</v>
      </c>
      <c r="F123" s="62" t="s">
        <v>214</v>
      </c>
      <c r="G123" s="61" t="s">
        <v>1755</v>
      </c>
      <c r="H123" s="61" t="s">
        <v>1756</v>
      </c>
      <c r="I123" s="61" t="s">
        <v>1506</v>
      </c>
      <c r="J123" s="61"/>
      <c r="K123" s="61"/>
    </row>
    <row r="124" customFormat="false" ht="77.25" hidden="false" customHeight="true" outlineLevel="0" collapsed="false">
      <c r="A124" s="59" t="s">
        <v>1497</v>
      </c>
      <c r="B124" s="60" t="s">
        <v>348</v>
      </c>
      <c r="C124" s="61" t="s">
        <v>330</v>
      </c>
      <c r="D124" s="61" t="s">
        <v>349</v>
      </c>
      <c r="E124" s="62" t="s">
        <v>1511</v>
      </c>
      <c r="F124" s="63" t="s">
        <v>215</v>
      </c>
      <c r="G124" s="61" t="s">
        <v>1757</v>
      </c>
      <c r="H124" s="61" t="s">
        <v>1758</v>
      </c>
      <c r="I124" s="61" t="s">
        <v>1506</v>
      </c>
      <c r="J124" s="61"/>
      <c r="K124" s="61"/>
    </row>
    <row r="125" customFormat="false" ht="93" hidden="false" customHeight="true" outlineLevel="0" collapsed="false">
      <c r="A125" s="59" t="s">
        <v>1497</v>
      </c>
      <c r="B125" s="60" t="s">
        <v>357</v>
      </c>
      <c r="C125" s="61" t="s">
        <v>330</v>
      </c>
      <c r="D125" s="61" t="s">
        <v>358</v>
      </c>
      <c r="E125" s="62" t="s">
        <v>1498</v>
      </c>
      <c r="F125" s="62" t="s">
        <v>1499</v>
      </c>
      <c r="G125" s="61" t="s">
        <v>1759</v>
      </c>
      <c r="H125" s="61" t="s">
        <v>1760</v>
      </c>
      <c r="I125" s="61" t="s">
        <v>1083</v>
      </c>
      <c r="J125" s="61" t="s">
        <v>1761</v>
      </c>
      <c r="K125" s="61" t="s">
        <v>1503</v>
      </c>
    </row>
    <row r="126" customFormat="false" ht="93" hidden="false" customHeight="true" outlineLevel="0" collapsed="false">
      <c r="A126" s="59" t="s">
        <v>1497</v>
      </c>
      <c r="B126" s="60" t="s">
        <v>357</v>
      </c>
      <c r="C126" s="61" t="s">
        <v>330</v>
      </c>
      <c r="D126" s="61" t="s">
        <v>358</v>
      </c>
      <c r="E126" s="62" t="s">
        <v>1498</v>
      </c>
      <c r="F126" s="62" t="s">
        <v>209</v>
      </c>
      <c r="G126" s="61" t="s">
        <v>1762</v>
      </c>
      <c r="H126" s="61" t="s">
        <v>1763</v>
      </c>
      <c r="I126" s="61" t="s">
        <v>1506</v>
      </c>
      <c r="J126" s="61"/>
      <c r="K126" s="61"/>
    </row>
    <row r="127" customFormat="false" ht="93" hidden="false" customHeight="true" outlineLevel="0" collapsed="false">
      <c r="A127" s="59" t="s">
        <v>1497</v>
      </c>
      <c r="B127" s="60" t="s">
        <v>357</v>
      </c>
      <c r="C127" s="61" t="s">
        <v>330</v>
      </c>
      <c r="D127" s="61" t="s">
        <v>358</v>
      </c>
      <c r="E127" s="62" t="s">
        <v>1498</v>
      </c>
      <c r="F127" s="62" t="s">
        <v>210</v>
      </c>
      <c r="G127" s="61" t="s">
        <v>1764</v>
      </c>
      <c r="H127" s="61" t="s">
        <v>1765</v>
      </c>
      <c r="I127" s="61" t="s">
        <v>1506</v>
      </c>
      <c r="J127" s="61"/>
      <c r="K127" s="61"/>
    </row>
    <row r="128" customFormat="false" ht="93" hidden="false" customHeight="true" outlineLevel="0" collapsed="false">
      <c r="A128" s="59" t="s">
        <v>1497</v>
      </c>
      <c r="B128" s="60" t="s">
        <v>357</v>
      </c>
      <c r="C128" s="61" t="s">
        <v>330</v>
      </c>
      <c r="D128" s="61" t="s">
        <v>358</v>
      </c>
      <c r="E128" s="62" t="s">
        <v>1498</v>
      </c>
      <c r="F128" s="62" t="s">
        <v>211</v>
      </c>
      <c r="G128" s="61" t="s">
        <v>1766</v>
      </c>
      <c r="H128" s="61" t="s">
        <v>1767</v>
      </c>
      <c r="I128" s="61" t="s">
        <v>1506</v>
      </c>
      <c r="J128" s="61"/>
      <c r="K128" s="61"/>
    </row>
    <row r="129" customFormat="false" ht="93" hidden="false" customHeight="true" outlineLevel="0" collapsed="false">
      <c r="A129" s="59" t="s">
        <v>1497</v>
      </c>
      <c r="B129" s="60" t="s">
        <v>357</v>
      </c>
      <c r="C129" s="61" t="s">
        <v>330</v>
      </c>
      <c r="D129" s="61" t="s">
        <v>358</v>
      </c>
      <c r="E129" s="62" t="s">
        <v>1511</v>
      </c>
      <c r="F129" s="62" t="s">
        <v>1512</v>
      </c>
      <c r="G129" s="61" t="s">
        <v>1768</v>
      </c>
      <c r="H129" s="61" t="s">
        <v>1769</v>
      </c>
      <c r="I129" s="61" t="s">
        <v>1506</v>
      </c>
      <c r="J129" s="61"/>
      <c r="K129" s="61"/>
    </row>
    <row r="130" customFormat="false" ht="93" hidden="false" customHeight="true" outlineLevel="0" collapsed="false">
      <c r="A130" s="59" t="s">
        <v>1497</v>
      </c>
      <c r="B130" s="60" t="s">
        <v>357</v>
      </c>
      <c r="C130" s="61" t="s">
        <v>330</v>
      </c>
      <c r="D130" s="61" t="s">
        <v>358</v>
      </c>
      <c r="E130" s="62" t="s">
        <v>1511</v>
      </c>
      <c r="F130" s="62" t="s">
        <v>213</v>
      </c>
      <c r="G130" s="61" t="s">
        <v>1770</v>
      </c>
      <c r="H130" s="61" t="s">
        <v>1771</v>
      </c>
      <c r="I130" s="61" t="s">
        <v>1506</v>
      </c>
      <c r="J130" s="61"/>
      <c r="K130" s="61"/>
    </row>
    <row r="131" customFormat="false" ht="93" hidden="false" customHeight="true" outlineLevel="0" collapsed="false">
      <c r="A131" s="59" t="s">
        <v>1497</v>
      </c>
      <c r="B131" s="60" t="s">
        <v>357</v>
      </c>
      <c r="C131" s="61" t="s">
        <v>330</v>
      </c>
      <c r="D131" s="61" t="s">
        <v>358</v>
      </c>
      <c r="E131" s="62" t="s">
        <v>1511</v>
      </c>
      <c r="F131" s="62" t="s">
        <v>214</v>
      </c>
      <c r="G131" s="61" t="s">
        <v>1772</v>
      </c>
      <c r="H131" s="61" t="s">
        <v>1773</v>
      </c>
      <c r="I131" s="61" t="s">
        <v>1506</v>
      </c>
      <c r="J131" s="61"/>
      <c r="K131" s="61"/>
    </row>
    <row r="132" customFormat="false" ht="123.75" hidden="false" customHeight="true" outlineLevel="0" collapsed="false">
      <c r="A132" s="59" t="s">
        <v>1497</v>
      </c>
      <c r="B132" s="60" t="s">
        <v>357</v>
      </c>
      <c r="C132" s="61" t="s">
        <v>330</v>
      </c>
      <c r="D132" s="61" t="s">
        <v>358</v>
      </c>
      <c r="E132" s="62" t="s">
        <v>1511</v>
      </c>
      <c r="F132" s="63" t="s">
        <v>215</v>
      </c>
      <c r="G132" s="61" t="s">
        <v>1774</v>
      </c>
      <c r="H132" s="61" t="s">
        <v>1775</v>
      </c>
      <c r="I132" s="61" t="s">
        <v>1506</v>
      </c>
      <c r="J132" s="61"/>
      <c r="K132" s="61"/>
    </row>
    <row r="133" customFormat="false" ht="93" hidden="false" customHeight="true" outlineLevel="0" collapsed="false">
      <c r="A133" s="59" t="s">
        <v>1497</v>
      </c>
      <c r="B133" s="60" t="s">
        <v>366</v>
      </c>
      <c r="C133" s="61" t="s">
        <v>330</v>
      </c>
      <c r="D133" s="61" t="s">
        <v>367</v>
      </c>
      <c r="E133" s="62" t="s">
        <v>1498</v>
      </c>
      <c r="F133" s="62" t="s">
        <v>1499</v>
      </c>
      <c r="G133" s="61" t="s">
        <v>1776</v>
      </c>
      <c r="H133" s="61" t="s">
        <v>1777</v>
      </c>
      <c r="I133" s="61" t="s">
        <v>1089</v>
      </c>
      <c r="J133" s="61" t="s">
        <v>1778</v>
      </c>
      <c r="K133" s="61" t="s">
        <v>1503</v>
      </c>
    </row>
    <row r="134" customFormat="false" ht="61.5" hidden="false" customHeight="true" outlineLevel="0" collapsed="false">
      <c r="A134" s="59" t="s">
        <v>1497</v>
      </c>
      <c r="B134" s="60" t="s">
        <v>366</v>
      </c>
      <c r="C134" s="61" t="s">
        <v>330</v>
      </c>
      <c r="D134" s="61" t="s">
        <v>367</v>
      </c>
      <c r="E134" s="62" t="s">
        <v>1498</v>
      </c>
      <c r="F134" s="62" t="s">
        <v>209</v>
      </c>
      <c r="G134" s="61" t="s">
        <v>1779</v>
      </c>
      <c r="H134" s="61" t="s">
        <v>1780</v>
      </c>
      <c r="I134" s="61" t="s">
        <v>1506</v>
      </c>
      <c r="J134" s="61"/>
      <c r="K134" s="61"/>
    </row>
    <row r="135" customFormat="false" ht="61.5" hidden="false" customHeight="true" outlineLevel="0" collapsed="false">
      <c r="A135" s="59" t="s">
        <v>1497</v>
      </c>
      <c r="B135" s="60" t="s">
        <v>366</v>
      </c>
      <c r="C135" s="61" t="s">
        <v>330</v>
      </c>
      <c r="D135" s="61" t="s">
        <v>367</v>
      </c>
      <c r="E135" s="62" t="s">
        <v>1498</v>
      </c>
      <c r="F135" s="62" t="s">
        <v>210</v>
      </c>
      <c r="G135" s="61" t="s">
        <v>1781</v>
      </c>
      <c r="H135" s="61" t="s">
        <v>1782</v>
      </c>
      <c r="I135" s="61" t="s">
        <v>1506</v>
      </c>
      <c r="J135" s="61"/>
      <c r="K135" s="61"/>
    </row>
    <row r="136" customFormat="false" ht="61.5" hidden="false" customHeight="true" outlineLevel="0" collapsed="false">
      <c r="A136" s="59" t="s">
        <v>1497</v>
      </c>
      <c r="B136" s="60" t="s">
        <v>366</v>
      </c>
      <c r="C136" s="61" t="s">
        <v>330</v>
      </c>
      <c r="D136" s="61" t="s">
        <v>367</v>
      </c>
      <c r="E136" s="62" t="s">
        <v>1498</v>
      </c>
      <c r="F136" s="62" t="s">
        <v>211</v>
      </c>
      <c r="G136" s="61" t="s">
        <v>1783</v>
      </c>
      <c r="H136" s="61" t="s">
        <v>1784</v>
      </c>
      <c r="I136" s="61" t="s">
        <v>1506</v>
      </c>
      <c r="J136" s="61"/>
      <c r="K136" s="61"/>
    </row>
    <row r="137" customFormat="false" ht="61.5" hidden="false" customHeight="true" outlineLevel="0" collapsed="false">
      <c r="A137" s="59" t="s">
        <v>1497</v>
      </c>
      <c r="B137" s="60" t="s">
        <v>366</v>
      </c>
      <c r="C137" s="61" t="s">
        <v>330</v>
      </c>
      <c r="D137" s="61" t="s">
        <v>367</v>
      </c>
      <c r="E137" s="62" t="s">
        <v>1511</v>
      </c>
      <c r="F137" s="62" t="s">
        <v>1512</v>
      </c>
      <c r="G137" s="61" t="s">
        <v>1785</v>
      </c>
      <c r="H137" s="61" t="s">
        <v>1786</v>
      </c>
      <c r="I137" s="61" t="s">
        <v>1506</v>
      </c>
      <c r="J137" s="61"/>
      <c r="K137" s="61"/>
    </row>
    <row r="138" customFormat="false" ht="61.5" hidden="false" customHeight="true" outlineLevel="0" collapsed="false">
      <c r="A138" s="59" t="s">
        <v>1497</v>
      </c>
      <c r="B138" s="60" t="s">
        <v>366</v>
      </c>
      <c r="C138" s="61" t="s">
        <v>330</v>
      </c>
      <c r="D138" s="61" t="s">
        <v>367</v>
      </c>
      <c r="E138" s="62" t="s">
        <v>1511</v>
      </c>
      <c r="F138" s="62" t="s">
        <v>213</v>
      </c>
      <c r="G138" s="61" t="s">
        <v>1787</v>
      </c>
      <c r="H138" s="61" t="s">
        <v>1788</v>
      </c>
      <c r="I138" s="61" t="s">
        <v>1506</v>
      </c>
      <c r="J138" s="61"/>
      <c r="K138" s="61"/>
    </row>
    <row r="139" customFormat="false" ht="61.5" hidden="false" customHeight="true" outlineLevel="0" collapsed="false">
      <c r="A139" s="59" t="s">
        <v>1497</v>
      </c>
      <c r="B139" s="60" t="s">
        <v>366</v>
      </c>
      <c r="C139" s="61" t="s">
        <v>330</v>
      </c>
      <c r="D139" s="61" t="s">
        <v>367</v>
      </c>
      <c r="E139" s="62" t="s">
        <v>1511</v>
      </c>
      <c r="F139" s="62" t="s">
        <v>214</v>
      </c>
      <c r="G139" s="61" t="s">
        <v>1789</v>
      </c>
      <c r="H139" s="61" t="s">
        <v>1790</v>
      </c>
      <c r="I139" s="61" t="s">
        <v>1506</v>
      </c>
      <c r="J139" s="61"/>
      <c r="K139" s="61"/>
    </row>
    <row r="140" customFormat="false" ht="61.5" hidden="false" customHeight="true" outlineLevel="0" collapsed="false">
      <c r="A140" s="59" t="s">
        <v>1497</v>
      </c>
      <c r="B140" s="60" t="s">
        <v>366</v>
      </c>
      <c r="C140" s="61" t="s">
        <v>330</v>
      </c>
      <c r="D140" s="61" t="s">
        <v>367</v>
      </c>
      <c r="E140" s="62" t="s">
        <v>1511</v>
      </c>
      <c r="F140" s="63" t="s">
        <v>215</v>
      </c>
      <c r="G140" s="61" t="s">
        <v>1791</v>
      </c>
      <c r="H140" s="61" t="s">
        <v>1792</v>
      </c>
      <c r="I140" s="61" t="s">
        <v>1506</v>
      </c>
      <c r="J140" s="61"/>
      <c r="K140" s="61"/>
    </row>
    <row r="141" customFormat="false" ht="77.25" hidden="false" customHeight="true" outlineLevel="0" collapsed="false">
      <c r="A141" s="59" t="s">
        <v>1497</v>
      </c>
      <c r="B141" s="60" t="s">
        <v>375</v>
      </c>
      <c r="C141" s="61" t="s">
        <v>376</v>
      </c>
      <c r="D141" s="61" t="s">
        <v>377</v>
      </c>
      <c r="E141" s="62" t="s">
        <v>1498</v>
      </c>
      <c r="F141" s="62" t="s">
        <v>1499</v>
      </c>
      <c r="G141" s="61" t="s">
        <v>1793</v>
      </c>
      <c r="H141" s="61" t="s">
        <v>1794</v>
      </c>
      <c r="I141" s="61" t="s">
        <v>1095</v>
      </c>
      <c r="J141" s="61" t="s">
        <v>1795</v>
      </c>
      <c r="K141" s="61" t="s">
        <v>1503</v>
      </c>
    </row>
    <row r="142" customFormat="false" ht="61.5" hidden="false" customHeight="true" outlineLevel="0" collapsed="false">
      <c r="A142" s="59" t="s">
        <v>1497</v>
      </c>
      <c r="B142" s="60" t="s">
        <v>375</v>
      </c>
      <c r="C142" s="61" t="s">
        <v>376</v>
      </c>
      <c r="D142" s="61" t="s">
        <v>377</v>
      </c>
      <c r="E142" s="62" t="s">
        <v>1498</v>
      </c>
      <c r="F142" s="62" t="s">
        <v>209</v>
      </c>
      <c r="G142" s="61" t="s">
        <v>1796</v>
      </c>
      <c r="H142" s="61" t="s">
        <v>1797</v>
      </c>
      <c r="I142" s="61" t="s">
        <v>1506</v>
      </c>
      <c r="J142" s="61"/>
      <c r="K142" s="61"/>
    </row>
    <row r="143" customFormat="false" ht="61.5" hidden="false" customHeight="true" outlineLevel="0" collapsed="false">
      <c r="A143" s="59" t="s">
        <v>1497</v>
      </c>
      <c r="B143" s="60" t="s">
        <v>375</v>
      </c>
      <c r="C143" s="61" t="s">
        <v>376</v>
      </c>
      <c r="D143" s="61" t="s">
        <v>377</v>
      </c>
      <c r="E143" s="62" t="s">
        <v>1498</v>
      </c>
      <c r="F143" s="62" t="s">
        <v>210</v>
      </c>
      <c r="G143" s="61" t="s">
        <v>1798</v>
      </c>
      <c r="H143" s="61" t="s">
        <v>1799</v>
      </c>
      <c r="I143" s="61" t="s">
        <v>1506</v>
      </c>
      <c r="J143" s="61"/>
      <c r="K143" s="61"/>
    </row>
    <row r="144" customFormat="false" ht="77.25" hidden="false" customHeight="true" outlineLevel="0" collapsed="false">
      <c r="A144" s="59" t="s">
        <v>1497</v>
      </c>
      <c r="B144" s="60" t="s">
        <v>375</v>
      </c>
      <c r="C144" s="61" t="s">
        <v>376</v>
      </c>
      <c r="D144" s="61" t="s">
        <v>377</v>
      </c>
      <c r="E144" s="62" t="s">
        <v>1498</v>
      </c>
      <c r="F144" s="62" t="s">
        <v>211</v>
      </c>
      <c r="G144" s="61" t="s">
        <v>1800</v>
      </c>
      <c r="H144" s="61" t="s">
        <v>1801</v>
      </c>
      <c r="I144" s="61" t="s">
        <v>1506</v>
      </c>
      <c r="J144" s="61"/>
      <c r="K144" s="61"/>
    </row>
    <row r="145" customFormat="false" ht="77.25" hidden="false" customHeight="true" outlineLevel="0" collapsed="false">
      <c r="A145" s="59" t="s">
        <v>1497</v>
      </c>
      <c r="B145" s="60" t="s">
        <v>375</v>
      </c>
      <c r="C145" s="61" t="s">
        <v>376</v>
      </c>
      <c r="D145" s="61" t="s">
        <v>377</v>
      </c>
      <c r="E145" s="62" t="s">
        <v>1511</v>
      </c>
      <c r="F145" s="62" t="s">
        <v>1512</v>
      </c>
      <c r="G145" s="61" t="s">
        <v>1802</v>
      </c>
      <c r="H145" s="61" t="s">
        <v>1803</v>
      </c>
      <c r="I145" s="61" t="s">
        <v>1506</v>
      </c>
      <c r="J145" s="61"/>
      <c r="K145" s="61"/>
    </row>
    <row r="146" customFormat="false" ht="77.25" hidden="false" customHeight="true" outlineLevel="0" collapsed="false">
      <c r="A146" s="59" t="s">
        <v>1497</v>
      </c>
      <c r="B146" s="60" t="s">
        <v>375</v>
      </c>
      <c r="C146" s="61" t="s">
        <v>376</v>
      </c>
      <c r="D146" s="61" t="s">
        <v>377</v>
      </c>
      <c r="E146" s="62" t="s">
        <v>1511</v>
      </c>
      <c r="F146" s="62" t="s">
        <v>213</v>
      </c>
      <c r="G146" s="61" t="s">
        <v>1804</v>
      </c>
      <c r="H146" s="61" t="s">
        <v>1805</v>
      </c>
      <c r="I146" s="61" t="s">
        <v>1506</v>
      </c>
      <c r="J146" s="61"/>
      <c r="K146" s="61"/>
    </row>
    <row r="147" customFormat="false" ht="77.25" hidden="false" customHeight="true" outlineLevel="0" collapsed="false">
      <c r="A147" s="59" t="s">
        <v>1497</v>
      </c>
      <c r="B147" s="60" t="s">
        <v>375</v>
      </c>
      <c r="C147" s="61" t="s">
        <v>376</v>
      </c>
      <c r="D147" s="61" t="s">
        <v>377</v>
      </c>
      <c r="E147" s="62" t="s">
        <v>1511</v>
      </c>
      <c r="F147" s="62" t="s">
        <v>214</v>
      </c>
      <c r="G147" s="61" t="s">
        <v>1806</v>
      </c>
      <c r="H147" s="61" t="s">
        <v>1807</v>
      </c>
      <c r="I147" s="61" t="s">
        <v>1506</v>
      </c>
      <c r="J147" s="61"/>
      <c r="K147" s="61"/>
    </row>
    <row r="148" customFormat="false" ht="77.25" hidden="false" customHeight="true" outlineLevel="0" collapsed="false">
      <c r="A148" s="59" t="s">
        <v>1497</v>
      </c>
      <c r="B148" s="60" t="s">
        <v>375</v>
      </c>
      <c r="C148" s="61" t="s">
        <v>376</v>
      </c>
      <c r="D148" s="61" t="s">
        <v>377</v>
      </c>
      <c r="E148" s="62" t="s">
        <v>1511</v>
      </c>
      <c r="F148" s="63" t="s">
        <v>215</v>
      </c>
      <c r="G148" s="61" t="s">
        <v>1808</v>
      </c>
      <c r="H148" s="61" t="s">
        <v>1809</v>
      </c>
      <c r="I148" s="61" t="s">
        <v>1506</v>
      </c>
      <c r="J148" s="61"/>
      <c r="K148" s="61"/>
    </row>
    <row r="149" customFormat="false" ht="93" hidden="false" customHeight="true" outlineLevel="0" collapsed="false">
      <c r="A149" s="59" t="s">
        <v>1497</v>
      </c>
      <c r="B149" s="60" t="s">
        <v>385</v>
      </c>
      <c r="C149" s="61" t="s">
        <v>376</v>
      </c>
      <c r="D149" s="61" t="s">
        <v>386</v>
      </c>
      <c r="E149" s="62" t="s">
        <v>1498</v>
      </c>
      <c r="F149" s="62" t="s">
        <v>1499</v>
      </c>
      <c r="G149" s="61" t="s">
        <v>1810</v>
      </c>
      <c r="H149" s="61" t="s">
        <v>1811</v>
      </c>
      <c r="I149" s="61" t="s">
        <v>1101</v>
      </c>
      <c r="J149" s="61" t="s">
        <v>1812</v>
      </c>
      <c r="K149" s="61" t="s">
        <v>1503</v>
      </c>
    </row>
    <row r="150" customFormat="false" ht="77.25" hidden="false" customHeight="true" outlineLevel="0" collapsed="false">
      <c r="A150" s="59" t="s">
        <v>1497</v>
      </c>
      <c r="B150" s="60" t="s">
        <v>385</v>
      </c>
      <c r="C150" s="61" t="s">
        <v>376</v>
      </c>
      <c r="D150" s="61" t="s">
        <v>386</v>
      </c>
      <c r="E150" s="62" t="s">
        <v>1498</v>
      </c>
      <c r="F150" s="62" t="s">
        <v>209</v>
      </c>
      <c r="G150" s="61" t="s">
        <v>1813</v>
      </c>
      <c r="H150" s="61" t="s">
        <v>1814</v>
      </c>
      <c r="I150" s="61" t="s">
        <v>1506</v>
      </c>
      <c r="J150" s="61"/>
      <c r="K150" s="61"/>
    </row>
    <row r="151" customFormat="false" ht="77.25" hidden="false" customHeight="true" outlineLevel="0" collapsed="false">
      <c r="A151" s="59" t="s">
        <v>1497</v>
      </c>
      <c r="B151" s="60" t="s">
        <v>385</v>
      </c>
      <c r="C151" s="61" t="s">
        <v>376</v>
      </c>
      <c r="D151" s="61" t="s">
        <v>386</v>
      </c>
      <c r="E151" s="62" t="s">
        <v>1498</v>
      </c>
      <c r="F151" s="62" t="s">
        <v>210</v>
      </c>
      <c r="G151" s="61" t="s">
        <v>1815</v>
      </c>
      <c r="H151" s="61" t="s">
        <v>1816</v>
      </c>
      <c r="I151" s="61" t="s">
        <v>1506</v>
      </c>
      <c r="J151" s="61"/>
      <c r="K151" s="61"/>
    </row>
    <row r="152" customFormat="false" ht="77.25" hidden="false" customHeight="true" outlineLevel="0" collapsed="false">
      <c r="A152" s="59" t="s">
        <v>1497</v>
      </c>
      <c r="B152" s="60" t="s">
        <v>385</v>
      </c>
      <c r="C152" s="61" t="s">
        <v>376</v>
      </c>
      <c r="D152" s="61" t="s">
        <v>386</v>
      </c>
      <c r="E152" s="62" t="s">
        <v>1498</v>
      </c>
      <c r="F152" s="62" t="s">
        <v>211</v>
      </c>
      <c r="G152" s="61" t="s">
        <v>1817</v>
      </c>
      <c r="H152" s="61" t="s">
        <v>1818</v>
      </c>
      <c r="I152" s="61" t="s">
        <v>1506</v>
      </c>
      <c r="J152" s="61"/>
      <c r="K152" s="61"/>
    </row>
    <row r="153" customFormat="false" ht="77.25" hidden="false" customHeight="true" outlineLevel="0" collapsed="false">
      <c r="A153" s="59" t="s">
        <v>1497</v>
      </c>
      <c r="B153" s="60" t="s">
        <v>385</v>
      </c>
      <c r="C153" s="61" t="s">
        <v>376</v>
      </c>
      <c r="D153" s="61" t="s">
        <v>386</v>
      </c>
      <c r="E153" s="62" t="s">
        <v>1511</v>
      </c>
      <c r="F153" s="62" t="s">
        <v>1512</v>
      </c>
      <c r="G153" s="61" t="s">
        <v>1819</v>
      </c>
      <c r="H153" s="61" t="s">
        <v>1820</v>
      </c>
      <c r="I153" s="61" t="s">
        <v>1506</v>
      </c>
      <c r="J153" s="61"/>
      <c r="K153" s="61"/>
    </row>
    <row r="154" customFormat="false" ht="77.25" hidden="false" customHeight="true" outlineLevel="0" collapsed="false">
      <c r="A154" s="59" t="s">
        <v>1497</v>
      </c>
      <c r="B154" s="60" t="s">
        <v>385</v>
      </c>
      <c r="C154" s="61" t="s">
        <v>376</v>
      </c>
      <c r="D154" s="61" t="s">
        <v>386</v>
      </c>
      <c r="E154" s="62" t="s">
        <v>1511</v>
      </c>
      <c r="F154" s="62" t="s">
        <v>213</v>
      </c>
      <c r="G154" s="61" t="s">
        <v>1821</v>
      </c>
      <c r="H154" s="61" t="s">
        <v>1822</v>
      </c>
      <c r="I154" s="61" t="s">
        <v>1506</v>
      </c>
      <c r="J154" s="61"/>
      <c r="K154" s="61"/>
    </row>
    <row r="155" customFormat="false" ht="77.25" hidden="false" customHeight="true" outlineLevel="0" collapsed="false">
      <c r="A155" s="59" t="s">
        <v>1497</v>
      </c>
      <c r="B155" s="60" t="s">
        <v>385</v>
      </c>
      <c r="C155" s="61" t="s">
        <v>376</v>
      </c>
      <c r="D155" s="61" t="s">
        <v>386</v>
      </c>
      <c r="E155" s="62" t="s">
        <v>1511</v>
      </c>
      <c r="F155" s="62" t="s">
        <v>214</v>
      </c>
      <c r="G155" s="61" t="s">
        <v>1823</v>
      </c>
      <c r="H155" s="61" t="s">
        <v>1824</v>
      </c>
      <c r="I155" s="61" t="s">
        <v>1506</v>
      </c>
      <c r="J155" s="61"/>
      <c r="K155" s="61"/>
    </row>
    <row r="156" customFormat="false" ht="108" hidden="false" customHeight="true" outlineLevel="0" collapsed="false">
      <c r="A156" s="59" t="s">
        <v>1497</v>
      </c>
      <c r="B156" s="60" t="s">
        <v>385</v>
      </c>
      <c r="C156" s="61" t="s">
        <v>376</v>
      </c>
      <c r="D156" s="61" t="s">
        <v>386</v>
      </c>
      <c r="E156" s="62" t="s">
        <v>1511</v>
      </c>
      <c r="F156" s="63" t="s">
        <v>215</v>
      </c>
      <c r="G156" s="61" t="s">
        <v>1825</v>
      </c>
      <c r="H156" s="61" t="s">
        <v>1826</v>
      </c>
      <c r="I156" s="61" t="s">
        <v>1506</v>
      </c>
      <c r="J156" s="61"/>
      <c r="K156" s="61"/>
    </row>
    <row r="157" customFormat="false" ht="93" hidden="false" customHeight="true" outlineLevel="0" collapsed="false">
      <c r="A157" s="64" t="s">
        <v>1827</v>
      </c>
      <c r="B157" s="60" t="s">
        <v>394</v>
      </c>
      <c r="C157" s="61" t="s">
        <v>395</v>
      </c>
      <c r="D157" s="61" t="s">
        <v>396</v>
      </c>
      <c r="E157" s="62" t="s">
        <v>1498</v>
      </c>
      <c r="F157" s="62" t="s">
        <v>1499</v>
      </c>
      <c r="G157" s="61" t="s">
        <v>1828</v>
      </c>
      <c r="H157" s="61" t="s">
        <v>1829</v>
      </c>
      <c r="I157" s="61" t="s">
        <v>1107</v>
      </c>
      <c r="J157" s="61" t="s">
        <v>1830</v>
      </c>
      <c r="K157" s="61" t="s">
        <v>1503</v>
      </c>
    </row>
    <row r="158" customFormat="false" ht="61.5" hidden="false" customHeight="true" outlineLevel="0" collapsed="false">
      <c r="A158" s="64" t="s">
        <v>1827</v>
      </c>
      <c r="B158" s="60" t="s">
        <v>394</v>
      </c>
      <c r="C158" s="61" t="s">
        <v>395</v>
      </c>
      <c r="D158" s="61" t="s">
        <v>396</v>
      </c>
      <c r="E158" s="62" t="s">
        <v>1498</v>
      </c>
      <c r="F158" s="62" t="s">
        <v>209</v>
      </c>
      <c r="G158" s="61" t="s">
        <v>1831</v>
      </c>
      <c r="H158" s="61" t="s">
        <v>1832</v>
      </c>
      <c r="I158" s="61" t="s">
        <v>1506</v>
      </c>
      <c r="J158" s="61"/>
      <c r="K158" s="61"/>
    </row>
    <row r="159" customFormat="false" ht="77.25" hidden="false" customHeight="true" outlineLevel="0" collapsed="false">
      <c r="A159" s="64" t="s">
        <v>1827</v>
      </c>
      <c r="B159" s="60" t="s">
        <v>394</v>
      </c>
      <c r="C159" s="61" t="s">
        <v>395</v>
      </c>
      <c r="D159" s="61" t="s">
        <v>396</v>
      </c>
      <c r="E159" s="62" t="s">
        <v>1498</v>
      </c>
      <c r="F159" s="62" t="s">
        <v>210</v>
      </c>
      <c r="G159" s="61" t="s">
        <v>1833</v>
      </c>
      <c r="H159" s="61" t="s">
        <v>1834</v>
      </c>
      <c r="I159" s="61" t="s">
        <v>1506</v>
      </c>
      <c r="J159" s="61"/>
      <c r="K159" s="61"/>
    </row>
    <row r="160" customFormat="false" ht="77.25" hidden="false" customHeight="true" outlineLevel="0" collapsed="false">
      <c r="A160" s="64" t="s">
        <v>1827</v>
      </c>
      <c r="B160" s="60" t="s">
        <v>394</v>
      </c>
      <c r="C160" s="61" t="s">
        <v>395</v>
      </c>
      <c r="D160" s="61" t="s">
        <v>396</v>
      </c>
      <c r="E160" s="62" t="s">
        <v>1498</v>
      </c>
      <c r="F160" s="62" t="s">
        <v>211</v>
      </c>
      <c r="G160" s="61" t="s">
        <v>1835</v>
      </c>
      <c r="H160" s="61" t="s">
        <v>1836</v>
      </c>
      <c r="I160" s="61" t="s">
        <v>1506</v>
      </c>
      <c r="J160" s="61"/>
      <c r="K160" s="61"/>
    </row>
    <row r="161" customFormat="false" ht="61.5" hidden="false" customHeight="true" outlineLevel="0" collapsed="false">
      <c r="A161" s="64" t="s">
        <v>1827</v>
      </c>
      <c r="B161" s="60" t="s">
        <v>394</v>
      </c>
      <c r="C161" s="61" t="s">
        <v>395</v>
      </c>
      <c r="D161" s="61" t="s">
        <v>396</v>
      </c>
      <c r="E161" s="62" t="s">
        <v>1511</v>
      </c>
      <c r="F161" s="62" t="s">
        <v>1512</v>
      </c>
      <c r="G161" s="61" t="s">
        <v>1837</v>
      </c>
      <c r="H161" s="61" t="s">
        <v>1838</v>
      </c>
      <c r="I161" s="61" t="s">
        <v>1506</v>
      </c>
      <c r="J161" s="61"/>
      <c r="K161" s="61"/>
    </row>
    <row r="162" customFormat="false" ht="61.5" hidden="false" customHeight="true" outlineLevel="0" collapsed="false">
      <c r="A162" s="64" t="s">
        <v>1827</v>
      </c>
      <c r="B162" s="60" t="s">
        <v>394</v>
      </c>
      <c r="C162" s="61" t="s">
        <v>395</v>
      </c>
      <c r="D162" s="61" t="s">
        <v>396</v>
      </c>
      <c r="E162" s="62" t="s">
        <v>1511</v>
      </c>
      <c r="F162" s="62" t="s">
        <v>213</v>
      </c>
      <c r="G162" s="61" t="s">
        <v>1839</v>
      </c>
      <c r="H162" s="61" t="s">
        <v>1840</v>
      </c>
      <c r="I162" s="61" t="s">
        <v>1506</v>
      </c>
      <c r="J162" s="61"/>
      <c r="K162" s="61"/>
    </row>
    <row r="163" customFormat="false" ht="77.25" hidden="false" customHeight="true" outlineLevel="0" collapsed="false">
      <c r="A163" s="64" t="s">
        <v>1827</v>
      </c>
      <c r="B163" s="60" t="s">
        <v>394</v>
      </c>
      <c r="C163" s="61" t="s">
        <v>395</v>
      </c>
      <c r="D163" s="61" t="s">
        <v>396</v>
      </c>
      <c r="E163" s="62" t="s">
        <v>1511</v>
      </c>
      <c r="F163" s="62" t="s">
        <v>214</v>
      </c>
      <c r="G163" s="61" t="s">
        <v>1841</v>
      </c>
      <c r="H163" s="61" t="s">
        <v>1842</v>
      </c>
      <c r="I163" s="61" t="s">
        <v>1506</v>
      </c>
      <c r="J163" s="61"/>
      <c r="K163" s="61"/>
    </row>
    <row r="164" customFormat="false" ht="77.25" hidden="false" customHeight="true" outlineLevel="0" collapsed="false">
      <c r="A164" s="64" t="s">
        <v>1827</v>
      </c>
      <c r="B164" s="60" t="s">
        <v>394</v>
      </c>
      <c r="C164" s="61" t="s">
        <v>395</v>
      </c>
      <c r="D164" s="61" t="s">
        <v>396</v>
      </c>
      <c r="E164" s="62" t="s">
        <v>1511</v>
      </c>
      <c r="F164" s="63" t="s">
        <v>215</v>
      </c>
      <c r="G164" s="61" t="s">
        <v>1843</v>
      </c>
      <c r="H164" s="61" t="s">
        <v>1844</v>
      </c>
      <c r="I164" s="61" t="s">
        <v>1506</v>
      </c>
      <c r="J164" s="61"/>
      <c r="K164" s="61"/>
    </row>
    <row r="165" customFormat="false" ht="93" hidden="false" customHeight="true" outlineLevel="0" collapsed="false">
      <c r="A165" s="64" t="s">
        <v>1827</v>
      </c>
      <c r="B165" s="60" t="s">
        <v>404</v>
      </c>
      <c r="C165" s="61" t="s">
        <v>395</v>
      </c>
      <c r="D165" s="61" t="s">
        <v>405</v>
      </c>
      <c r="E165" s="62" t="s">
        <v>1498</v>
      </c>
      <c r="F165" s="62" t="s">
        <v>1499</v>
      </c>
      <c r="G165" s="61" t="s">
        <v>1845</v>
      </c>
      <c r="H165" s="61" t="s">
        <v>1846</v>
      </c>
      <c r="I165" s="61" t="s">
        <v>1114</v>
      </c>
      <c r="J165" s="61" t="s">
        <v>1847</v>
      </c>
      <c r="K165" s="61" t="s">
        <v>1503</v>
      </c>
    </row>
    <row r="166" customFormat="false" ht="61.5" hidden="false" customHeight="true" outlineLevel="0" collapsed="false">
      <c r="A166" s="64" t="s">
        <v>1827</v>
      </c>
      <c r="B166" s="60" t="s">
        <v>404</v>
      </c>
      <c r="C166" s="61" t="s">
        <v>395</v>
      </c>
      <c r="D166" s="61" t="s">
        <v>405</v>
      </c>
      <c r="E166" s="62" t="s">
        <v>1498</v>
      </c>
      <c r="F166" s="62" t="s">
        <v>209</v>
      </c>
      <c r="G166" s="61" t="s">
        <v>1848</v>
      </c>
      <c r="H166" s="61" t="s">
        <v>1849</v>
      </c>
      <c r="I166" s="61" t="s">
        <v>1506</v>
      </c>
      <c r="J166" s="61"/>
      <c r="K166" s="61"/>
    </row>
    <row r="167" customFormat="false" ht="61.5" hidden="false" customHeight="true" outlineLevel="0" collapsed="false">
      <c r="A167" s="64" t="s">
        <v>1827</v>
      </c>
      <c r="B167" s="60" t="s">
        <v>404</v>
      </c>
      <c r="C167" s="61" t="s">
        <v>395</v>
      </c>
      <c r="D167" s="61" t="s">
        <v>405</v>
      </c>
      <c r="E167" s="62" t="s">
        <v>1498</v>
      </c>
      <c r="F167" s="62" t="s">
        <v>210</v>
      </c>
      <c r="G167" s="61" t="s">
        <v>1850</v>
      </c>
      <c r="H167" s="61" t="s">
        <v>1851</v>
      </c>
      <c r="I167" s="61" t="s">
        <v>1506</v>
      </c>
      <c r="J167" s="61"/>
      <c r="K167" s="61"/>
    </row>
    <row r="168" customFormat="false" ht="77.25" hidden="false" customHeight="true" outlineLevel="0" collapsed="false">
      <c r="A168" s="64" t="s">
        <v>1827</v>
      </c>
      <c r="B168" s="60" t="s">
        <v>404</v>
      </c>
      <c r="C168" s="61" t="s">
        <v>395</v>
      </c>
      <c r="D168" s="61" t="s">
        <v>405</v>
      </c>
      <c r="E168" s="62" t="s">
        <v>1498</v>
      </c>
      <c r="F168" s="62" t="s">
        <v>211</v>
      </c>
      <c r="G168" s="61" t="s">
        <v>1852</v>
      </c>
      <c r="H168" s="61" t="s">
        <v>1853</v>
      </c>
      <c r="I168" s="61" t="s">
        <v>1506</v>
      </c>
      <c r="J168" s="61"/>
      <c r="K168" s="61"/>
    </row>
    <row r="169" customFormat="false" ht="61.5" hidden="false" customHeight="true" outlineLevel="0" collapsed="false">
      <c r="A169" s="64" t="s">
        <v>1827</v>
      </c>
      <c r="B169" s="60" t="s">
        <v>404</v>
      </c>
      <c r="C169" s="61" t="s">
        <v>395</v>
      </c>
      <c r="D169" s="61" t="s">
        <v>405</v>
      </c>
      <c r="E169" s="62" t="s">
        <v>1511</v>
      </c>
      <c r="F169" s="62" t="s">
        <v>1512</v>
      </c>
      <c r="G169" s="61" t="s">
        <v>1854</v>
      </c>
      <c r="H169" s="61" t="s">
        <v>1855</v>
      </c>
      <c r="I169" s="61" t="s">
        <v>1506</v>
      </c>
      <c r="J169" s="61"/>
      <c r="K169" s="61"/>
    </row>
    <row r="170" customFormat="false" ht="77.25" hidden="false" customHeight="true" outlineLevel="0" collapsed="false">
      <c r="A170" s="64" t="s">
        <v>1827</v>
      </c>
      <c r="B170" s="60" t="s">
        <v>404</v>
      </c>
      <c r="C170" s="61" t="s">
        <v>395</v>
      </c>
      <c r="D170" s="61" t="s">
        <v>405</v>
      </c>
      <c r="E170" s="62" t="s">
        <v>1511</v>
      </c>
      <c r="F170" s="62" t="s">
        <v>213</v>
      </c>
      <c r="G170" s="61" t="s">
        <v>1856</v>
      </c>
      <c r="H170" s="61" t="s">
        <v>1857</v>
      </c>
      <c r="I170" s="61" t="s">
        <v>1506</v>
      </c>
      <c r="J170" s="61"/>
      <c r="K170" s="61"/>
    </row>
    <row r="171" customFormat="false" ht="61.5" hidden="false" customHeight="true" outlineLevel="0" collapsed="false">
      <c r="A171" s="64" t="s">
        <v>1827</v>
      </c>
      <c r="B171" s="60" t="s">
        <v>404</v>
      </c>
      <c r="C171" s="61" t="s">
        <v>395</v>
      </c>
      <c r="D171" s="61" t="s">
        <v>405</v>
      </c>
      <c r="E171" s="62" t="s">
        <v>1511</v>
      </c>
      <c r="F171" s="62" t="s">
        <v>214</v>
      </c>
      <c r="G171" s="61" t="s">
        <v>1858</v>
      </c>
      <c r="H171" s="61" t="s">
        <v>1859</v>
      </c>
      <c r="I171" s="61" t="s">
        <v>1506</v>
      </c>
      <c r="J171" s="61"/>
      <c r="K171" s="61"/>
    </row>
    <row r="172" customFormat="false" ht="77.25" hidden="false" customHeight="true" outlineLevel="0" collapsed="false">
      <c r="A172" s="64" t="s">
        <v>1827</v>
      </c>
      <c r="B172" s="60" t="s">
        <v>404</v>
      </c>
      <c r="C172" s="61" t="s">
        <v>395</v>
      </c>
      <c r="D172" s="61" t="s">
        <v>405</v>
      </c>
      <c r="E172" s="62" t="s">
        <v>1511</v>
      </c>
      <c r="F172" s="63" t="s">
        <v>215</v>
      </c>
      <c r="G172" s="61" t="s">
        <v>1860</v>
      </c>
      <c r="H172" s="61" t="s">
        <v>1861</v>
      </c>
      <c r="I172" s="61" t="s">
        <v>1506</v>
      </c>
      <c r="J172" s="61"/>
      <c r="K172" s="61"/>
    </row>
    <row r="173" customFormat="false" ht="77.25" hidden="false" customHeight="true" outlineLevel="0" collapsed="false">
      <c r="A173" s="64" t="s">
        <v>1827</v>
      </c>
      <c r="B173" s="60" t="s">
        <v>413</v>
      </c>
      <c r="C173" s="61" t="s">
        <v>395</v>
      </c>
      <c r="D173" s="61" t="s">
        <v>414</v>
      </c>
      <c r="E173" s="62" t="s">
        <v>1498</v>
      </c>
      <c r="F173" s="62" t="s">
        <v>1499</v>
      </c>
      <c r="G173" s="61" t="s">
        <v>1862</v>
      </c>
      <c r="H173" s="61" t="s">
        <v>1863</v>
      </c>
      <c r="I173" s="61" t="s">
        <v>1120</v>
      </c>
      <c r="J173" s="61" t="s">
        <v>1864</v>
      </c>
      <c r="K173" s="61" t="s">
        <v>1503</v>
      </c>
    </row>
    <row r="174" customFormat="false" ht="61.5" hidden="false" customHeight="true" outlineLevel="0" collapsed="false">
      <c r="A174" s="64" t="s">
        <v>1827</v>
      </c>
      <c r="B174" s="60" t="s">
        <v>413</v>
      </c>
      <c r="C174" s="61" t="s">
        <v>395</v>
      </c>
      <c r="D174" s="61" t="s">
        <v>414</v>
      </c>
      <c r="E174" s="62" t="s">
        <v>1498</v>
      </c>
      <c r="F174" s="62" t="s">
        <v>209</v>
      </c>
      <c r="G174" s="61" t="s">
        <v>1865</v>
      </c>
      <c r="H174" s="61" t="s">
        <v>1866</v>
      </c>
      <c r="I174" s="61" t="s">
        <v>1506</v>
      </c>
      <c r="J174" s="61"/>
      <c r="K174" s="61"/>
    </row>
    <row r="175" customFormat="false" ht="61.5" hidden="false" customHeight="true" outlineLevel="0" collapsed="false">
      <c r="A175" s="64" t="s">
        <v>1827</v>
      </c>
      <c r="B175" s="60" t="s">
        <v>413</v>
      </c>
      <c r="C175" s="61" t="s">
        <v>395</v>
      </c>
      <c r="D175" s="61" t="s">
        <v>414</v>
      </c>
      <c r="E175" s="62" t="s">
        <v>1498</v>
      </c>
      <c r="F175" s="62" t="s">
        <v>210</v>
      </c>
      <c r="G175" s="61" t="s">
        <v>1867</v>
      </c>
      <c r="H175" s="61" t="s">
        <v>1868</v>
      </c>
      <c r="I175" s="61" t="s">
        <v>1506</v>
      </c>
      <c r="J175" s="61"/>
      <c r="K175" s="61"/>
    </row>
    <row r="176" customFormat="false" ht="61.5" hidden="false" customHeight="true" outlineLevel="0" collapsed="false">
      <c r="A176" s="64" t="s">
        <v>1827</v>
      </c>
      <c r="B176" s="60" t="s">
        <v>413</v>
      </c>
      <c r="C176" s="61" t="s">
        <v>395</v>
      </c>
      <c r="D176" s="61" t="s">
        <v>414</v>
      </c>
      <c r="E176" s="62" t="s">
        <v>1498</v>
      </c>
      <c r="F176" s="62" t="s">
        <v>211</v>
      </c>
      <c r="G176" s="61" t="s">
        <v>1869</v>
      </c>
      <c r="H176" s="61" t="s">
        <v>1870</v>
      </c>
      <c r="I176" s="61" t="s">
        <v>1506</v>
      </c>
      <c r="J176" s="61"/>
      <c r="K176" s="61"/>
    </row>
    <row r="177" customFormat="false" ht="61.5" hidden="false" customHeight="true" outlineLevel="0" collapsed="false">
      <c r="A177" s="64" t="s">
        <v>1827</v>
      </c>
      <c r="B177" s="60" t="s">
        <v>413</v>
      </c>
      <c r="C177" s="61" t="s">
        <v>395</v>
      </c>
      <c r="D177" s="61" t="s">
        <v>414</v>
      </c>
      <c r="E177" s="62" t="s">
        <v>1511</v>
      </c>
      <c r="F177" s="62" t="s">
        <v>1512</v>
      </c>
      <c r="G177" s="61" t="s">
        <v>1871</v>
      </c>
      <c r="H177" s="61" t="s">
        <v>1872</v>
      </c>
      <c r="I177" s="61" t="s">
        <v>1506</v>
      </c>
      <c r="J177" s="61"/>
      <c r="K177" s="61"/>
    </row>
    <row r="178" customFormat="false" ht="61.5" hidden="false" customHeight="true" outlineLevel="0" collapsed="false">
      <c r="A178" s="64" t="s">
        <v>1827</v>
      </c>
      <c r="B178" s="60" t="s">
        <v>413</v>
      </c>
      <c r="C178" s="61" t="s">
        <v>395</v>
      </c>
      <c r="D178" s="61" t="s">
        <v>414</v>
      </c>
      <c r="E178" s="62" t="s">
        <v>1511</v>
      </c>
      <c r="F178" s="62" t="s">
        <v>213</v>
      </c>
      <c r="G178" s="61" t="s">
        <v>1873</v>
      </c>
      <c r="H178" s="61" t="s">
        <v>1874</v>
      </c>
      <c r="I178" s="61" t="s">
        <v>1506</v>
      </c>
      <c r="J178" s="61"/>
      <c r="K178" s="61"/>
    </row>
    <row r="179" customFormat="false" ht="61.5" hidden="false" customHeight="true" outlineLevel="0" collapsed="false">
      <c r="A179" s="64" t="s">
        <v>1827</v>
      </c>
      <c r="B179" s="60" t="s">
        <v>413</v>
      </c>
      <c r="C179" s="61" t="s">
        <v>395</v>
      </c>
      <c r="D179" s="61" t="s">
        <v>414</v>
      </c>
      <c r="E179" s="62" t="s">
        <v>1511</v>
      </c>
      <c r="F179" s="62" t="s">
        <v>214</v>
      </c>
      <c r="G179" s="61" t="s">
        <v>1875</v>
      </c>
      <c r="H179" s="61" t="s">
        <v>1876</v>
      </c>
      <c r="I179" s="61" t="s">
        <v>1506</v>
      </c>
      <c r="J179" s="61"/>
      <c r="K179" s="61"/>
    </row>
    <row r="180" customFormat="false" ht="77.25" hidden="false" customHeight="true" outlineLevel="0" collapsed="false">
      <c r="A180" s="64" t="s">
        <v>1827</v>
      </c>
      <c r="B180" s="60" t="s">
        <v>413</v>
      </c>
      <c r="C180" s="61" t="s">
        <v>395</v>
      </c>
      <c r="D180" s="61" t="s">
        <v>414</v>
      </c>
      <c r="E180" s="62" t="s">
        <v>1511</v>
      </c>
      <c r="F180" s="63" t="s">
        <v>215</v>
      </c>
      <c r="G180" s="61" t="s">
        <v>1877</v>
      </c>
      <c r="H180" s="61" t="s">
        <v>1878</v>
      </c>
      <c r="I180" s="61" t="s">
        <v>1506</v>
      </c>
      <c r="J180" s="61"/>
      <c r="K180" s="61"/>
    </row>
    <row r="181" customFormat="false" ht="93" hidden="false" customHeight="true" outlineLevel="0" collapsed="false">
      <c r="A181" s="64" t="s">
        <v>1827</v>
      </c>
      <c r="B181" s="60" t="s">
        <v>422</v>
      </c>
      <c r="C181" s="61" t="s">
        <v>423</v>
      </c>
      <c r="D181" s="61" t="s">
        <v>424</v>
      </c>
      <c r="E181" s="62" t="s">
        <v>1498</v>
      </c>
      <c r="F181" s="62" t="s">
        <v>1499</v>
      </c>
      <c r="G181" s="61" t="s">
        <v>1879</v>
      </c>
      <c r="H181" s="61" t="s">
        <v>1880</v>
      </c>
      <c r="I181" s="61" t="s">
        <v>1126</v>
      </c>
      <c r="J181" s="61" t="s">
        <v>1881</v>
      </c>
      <c r="K181" s="61" t="s">
        <v>1503</v>
      </c>
    </row>
    <row r="182" customFormat="false" ht="61.5" hidden="false" customHeight="true" outlineLevel="0" collapsed="false">
      <c r="A182" s="64" t="s">
        <v>1827</v>
      </c>
      <c r="B182" s="60" t="s">
        <v>422</v>
      </c>
      <c r="C182" s="61" t="s">
        <v>423</v>
      </c>
      <c r="D182" s="61" t="s">
        <v>424</v>
      </c>
      <c r="E182" s="62" t="s">
        <v>1498</v>
      </c>
      <c r="F182" s="62" t="s">
        <v>209</v>
      </c>
      <c r="G182" s="61" t="s">
        <v>1882</v>
      </c>
      <c r="H182" s="61" t="s">
        <v>1883</v>
      </c>
      <c r="I182" s="61" t="s">
        <v>1506</v>
      </c>
      <c r="J182" s="61"/>
      <c r="K182" s="61"/>
    </row>
    <row r="183" customFormat="false" ht="77.25" hidden="false" customHeight="true" outlineLevel="0" collapsed="false">
      <c r="A183" s="64" t="s">
        <v>1827</v>
      </c>
      <c r="B183" s="60" t="s">
        <v>422</v>
      </c>
      <c r="C183" s="61" t="s">
        <v>423</v>
      </c>
      <c r="D183" s="61" t="s">
        <v>424</v>
      </c>
      <c r="E183" s="62" t="s">
        <v>1498</v>
      </c>
      <c r="F183" s="62" t="s">
        <v>210</v>
      </c>
      <c r="G183" s="61" t="s">
        <v>1884</v>
      </c>
      <c r="H183" s="61" t="s">
        <v>1885</v>
      </c>
      <c r="I183" s="61" t="s">
        <v>1506</v>
      </c>
      <c r="J183" s="61"/>
      <c r="K183" s="61"/>
    </row>
    <row r="184" customFormat="false" ht="77.25" hidden="false" customHeight="true" outlineLevel="0" collapsed="false">
      <c r="A184" s="64" t="s">
        <v>1827</v>
      </c>
      <c r="B184" s="60" t="s">
        <v>422</v>
      </c>
      <c r="C184" s="61" t="s">
        <v>423</v>
      </c>
      <c r="D184" s="61" t="s">
        <v>424</v>
      </c>
      <c r="E184" s="62" t="s">
        <v>1498</v>
      </c>
      <c r="F184" s="62" t="s">
        <v>211</v>
      </c>
      <c r="G184" s="61" t="s">
        <v>1886</v>
      </c>
      <c r="H184" s="61" t="s">
        <v>1887</v>
      </c>
      <c r="I184" s="61" t="s">
        <v>1506</v>
      </c>
      <c r="J184" s="61"/>
      <c r="K184" s="61"/>
    </row>
    <row r="185" customFormat="false" ht="61.5" hidden="false" customHeight="true" outlineLevel="0" collapsed="false">
      <c r="A185" s="64" t="s">
        <v>1827</v>
      </c>
      <c r="B185" s="60" t="s">
        <v>422</v>
      </c>
      <c r="C185" s="61" t="s">
        <v>423</v>
      </c>
      <c r="D185" s="61" t="s">
        <v>424</v>
      </c>
      <c r="E185" s="62" t="s">
        <v>1511</v>
      </c>
      <c r="F185" s="62" t="s">
        <v>1512</v>
      </c>
      <c r="G185" s="61" t="s">
        <v>1888</v>
      </c>
      <c r="H185" s="61" t="s">
        <v>1889</v>
      </c>
      <c r="I185" s="61" t="s">
        <v>1506</v>
      </c>
      <c r="J185" s="61"/>
      <c r="K185" s="61"/>
    </row>
    <row r="186" customFormat="false" ht="61.5" hidden="false" customHeight="true" outlineLevel="0" collapsed="false">
      <c r="A186" s="64" t="s">
        <v>1827</v>
      </c>
      <c r="B186" s="60" t="s">
        <v>422</v>
      </c>
      <c r="C186" s="61" t="s">
        <v>423</v>
      </c>
      <c r="D186" s="61" t="s">
        <v>424</v>
      </c>
      <c r="E186" s="62" t="s">
        <v>1511</v>
      </c>
      <c r="F186" s="62" t="s">
        <v>213</v>
      </c>
      <c r="G186" s="61" t="s">
        <v>1890</v>
      </c>
      <c r="H186" s="61" t="s">
        <v>1891</v>
      </c>
      <c r="I186" s="61" t="s">
        <v>1506</v>
      </c>
      <c r="J186" s="61"/>
      <c r="K186" s="61"/>
    </row>
    <row r="187" customFormat="false" ht="61.5" hidden="false" customHeight="true" outlineLevel="0" collapsed="false">
      <c r="A187" s="64" t="s">
        <v>1827</v>
      </c>
      <c r="B187" s="60" t="s">
        <v>422</v>
      </c>
      <c r="C187" s="61" t="s">
        <v>423</v>
      </c>
      <c r="D187" s="61" t="s">
        <v>424</v>
      </c>
      <c r="E187" s="62" t="s">
        <v>1511</v>
      </c>
      <c r="F187" s="62" t="s">
        <v>214</v>
      </c>
      <c r="G187" s="61" t="s">
        <v>1892</v>
      </c>
      <c r="H187" s="61" t="s">
        <v>1893</v>
      </c>
      <c r="I187" s="61" t="s">
        <v>1506</v>
      </c>
      <c r="J187" s="61"/>
      <c r="K187" s="61"/>
    </row>
    <row r="188" customFormat="false" ht="61.5" hidden="false" customHeight="true" outlineLevel="0" collapsed="false">
      <c r="A188" s="64" t="s">
        <v>1827</v>
      </c>
      <c r="B188" s="60" t="s">
        <v>422</v>
      </c>
      <c r="C188" s="61" t="s">
        <v>423</v>
      </c>
      <c r="D188" s="61" t="s">
        <v>424</v>
      </c>
      <c r="E188" s="62" t="s">
        <v>1511</v>
      </c>
      <c r="F188" s="63" t="s">
        <v>215</v>
      </c>
      <c r="G188" s="61" t="s">
        <v>1894</v>
      </c>
      <c r="H188" s="61" t="s">
        <v>1895</v>
      </c>
      <c r="I188" s="61" t="s">
        <v>1506</v>
      </c>
      <c r="J188" s="61"/>
      <c r="K188" s="61"/>
    </row>
    <row r="189" customFormat="false" ht="77.25" hidden="false" customHeight="true" outlineLevel="0" collapsed="false">
      <c r="A189" s="64" t="s">
        <v>1827</v>
      </c>
      <c r="B189" s="60" t="s">
        <v>432</v>
      </c>
      <c r="C189" s="61" t="s">
        <v>423</v>
      </c>
      <c r="D189" s="61" t="s">
        <v>433</v>
      </c>
      <c r="E189" s="62" t="s">
        <v>1498</v>
      </c>
      <c r="F189" s="62" t="s">
        <v>1499</v>
      </c>
      <c r="G189" s="61" t="s">
        <v>1896</v>
      </c>
      <c r="H189" s="61" t="s">
        <v>1897</v>
      </c>
      <c r="I189" s="61" t="s">
        <v>1132</v>
      </c>
      <c r="J189" s="61" t="s">
        <v>1898</v>
      </c>
      <c r="K189" s="61" t="s">
        <v>1503</v>
      </c>
    </row>
    <row r="190" customFormat="false" ht="61.5" hidden="false" customHeight="true" outlineLevel="0" collapsed="false">
      <c r="A190" s="64" t="s">
        <v>1827</v>
      </c>
      <c r="B190" s="60" t="s">
        <v>432</v>
      </c>
      <c r="C190" s="61" t="s">
        <v>423</v>
      </c>
      <c r="D190" s="61" t="s">
        <v>433</v>
      </c>
      <c r="E190" s="62" t="s">
        <v>1498</v>
      </c>
      <c r="F190" s="62" t="s">
        <v>209</v>
      </c>
      <c r="G190" s="61" t="s">
        <v>1899</v>
      </c>
      <c r="H190" s="61" t="s">
        <v>1900</v>
      </c>
      <c r="I190" s="61" t="s">
        <v>1506</v>
      </c>
      <c r="J190" s="61"/>
      <c r="K190" s="61"/>
    </row>
    <row r="191" customFormat="false" ht="61.5" hidden="false" customHeight="true" outlineLevel="0" collapsed="false">
      <c r="A191" s="64" t="s">
        <v>1827</v>
      </c>
      <c r="B191" s="60" t="s">
        <v>432</v>
      </c>
      <c r="C191" s="61" t="s">
        <v>423</v>
      </c>
      <c r="D191" s="61" t="s">
        <v>433</v>
      </c>
      <c r="E191" s="62" t="s">
        <v>1498</v>
      </c>
      <c r="F191" s="62" t="s">
        <v>210</v>
      </c>
      <c r="G191" s="61" t="s">
        <v>1901</v>
      </c>
      <c r="H191" s="61" t="s">
        <v>1902</v>
      </c>
      <c r="I191" s="61" t="s">
        <v>1506</v>
      </c>
      <c r="J191" s="61"/>
      <c r="K191" s="61"/>
    </row>
    <row r="192" customFormat="false" ht="61.5" hidden="false" customHeight="true" outlineLevel="0" collapsed="false">
      <c r="A192" s="64" t="s">
        <v>1827</v>
      </c>
      <c r="B192" s="60" t="s">
        <v>432</v>
      </c>
      <c r="C192" s="61" t="s">
        <v>423</v>
      </c>
      <c r="D192" s="61" t="s">
        <v>433</v>
      </c>
      <c r="E192" s="62" t="s">
        <v>1498</v>
      </c>
      <c r="F192" s="62" t="s">
        <v>211</v>
      </c>
      <c r="G192" s="61" t="s">
        <v>1903</v>
      </c>
      <c r="H192" s="61" t="s">
        <v>1904</v>
      </c>
      <c r="I192" s="61" t="s">
        <v>1506</v>
      </c>
      <c r="J192" s="61"/>
      <c r="K192" s="61"/>
    </row>
    <row r="193" customFormat="false" ht="61.5" hidden="false" customHeight="true" outlineLevel="0" collapsed="false">
      <c r="A193" s="64" t="s">
        <v>1827</v>
      </c>
      <c r="B193" s="60" t="s">
        <v>432</v>
      </c>
      <c r="C193" s="61" t="s">
        <v>423</v>
      </c>
      <c r="D193" s="61" t="s">
        <v>433</v>
      </c>
      <c r="E193" s="62" t="s">
        <v>1511</v>
      </c>
      <c r="F193" s="62" t="s">
        <v>1512</v>
      </c>
      <c r="G193" s="61" t="s">
        <v>1905</v>
      </c>
      <c r="H193" s="61" t="s">
        <v>1906</v>
      </c>
      <c r="I193" s="61" t="s">
        <v>1506</v>
      </c>
      <c r="J193" s="61"/>
      <c r="K193" s="61"/>
    </row>
    <row r="194" customFormat="false" ht="61.5" hidden="false" customHeight="true" outlineLevel="0" collapsed="false">
      <c r="A194" s="64" t="s">
        <v>1827</v>
      </c>
      <c r="B194" s="60" t="s">
        <v>432</v>
      </c>
      <c r="C194" s="61" t="s">
        <v>423</v>
      </c>
      <c r="D194" s="61" t="s">
        <v>433</v>
      </c>
      <c r="E194" s="62" t="s">
        <v>1511</v>
      </c>
      <c r="F194" s="62" t="s">
        <v>213</v>
      </c>
      <c r="G194" s="61" t="s">
        <v>1907</v>
      </c>
      <c r="H194" s="61" t="s">
        <v>1908</v>
      </c>
      <c r="I194" s="61" t="s">
        <v>1506</v>
      </c>
      <c r="J194" s="61"/>
      <c r="K194" s="61"/>
    </row>
    <row r="195" customFormat="false" ht="61.5" hidden="false" customHeight="true" outlineLevel="0" collapsed="false">
      <c r="A195" s="64" t="s">
        <v>1827</v>
      </c>
      <c r="B195" s="60" t="s">
        <v>432</v>
      </c>
      <c r="C195" s="61" t="s">
        <v>423</v>
      </c>
      <c r="D195" s="61" t="s">
        <v>433</v>
      </c>
      <c r="E195" s="62" t="s">
        <v>1511</v>
      </c>
      <c r="F195" s="62" t="s">
        <v>214</v>
      </c>
      <c r="G195" s="61" t="s">
        <v>1909</v>
      </c>
      <c r="H195" s="61" t="s">
        <v>1910</v>
      </c>
      <c r="I195" s="61" t="s">
        <v>1506</v>
      </c>
      <c r="J195" s="61"/>
      <c r="K195" s="61"/>
    </row>
    <row r="196" customFormat="false" ht="77.25" hidden="false" customHeight="true" outlineLevel="0" collapsed="false">
      <c r="A196" s="64" t="s">
        <v>1827</v>
      </c>
      <c r="B196" s="60" t="s">
        <v>432</v>
      </c>
      <c r="C196" s="61" t="s">
        <v>423</v>
      </c>
      <c r="D196" s="61" t="s">
        <v>433</v>
      </c>
      <c r="E196" s="62" t="s">
        <v>1511</v>
      </c>
      <c r="F196" s="63" t="s">
        <v>215</v>
      </c>
      <c r="G196" s="61" t="s">
        <v>1911</v>
      </c>
      <c r="H196" s="61" t="s">
        <v>1912</v>
      </c>
      <c r="I196" s="61" t="s">
        <v>1506</v>
      </c>
      <c r="J196" s="61"/>
      <c r="K196" s="61"/>
    </row>
    <row r="197" customFormat="false" ht="108" hidden="false" customHeight="true" outlineLevel="0" collapsed="false">
      <c r="A197" s="64" t="s">
        <v>1827</v>
      </c>
      <c r="B197" s="60" t="s">
        <v>441</v>
      </c>
      <c r="C197" s="61" t="s">
        <v>423</v>
      </c>
      <c r="D197" s="61" t="s">
        <v>442</v>
      </c>
      <c r="E197" s="62" t="s">
        <v>1498</v>
      </c>
      <c r="F197" s="62" t="s">
        <v>1499</v>
      </c>
      <c r="G197" s="61" t="s">
        <v>1913</v>
      </c>
      <c r="H197" s="61" t="s">
        <v>1914</v>
      </c>
      <c r="I197" s="61" t="s">
        <v>1138</v>
      </c>
      <c r="J197" s="61" t="s">
        <v>1915</v>
      </c>
      <c r="K197" s="61" t="s">
        <v>1503</v>
      </c>
    </row>
    <row r="198" customFormat="false" ht="61.5" hidden="false" customHeight="true" outlineLevel="0" collapsed="false">
      <c r="A198" s="64" t="s">
        <v>1827</v>
      </c>
      <c r="B198" s="60" t="s">
        <v>441</v>
      </c>
      <c r="C198" s="61" t="s">
        <v>423</v>
      </c>
      <c r="D198" s="61" t="s">
        <v>442</v>
      </c>
      <c r="E198" s="62" t="s">
        <v>1498</v>
      </c>
      <c r="F198" s="62" t="s">
        <v>209</v>
      </c>
      <c r="G198" s="61" t="s">
        <v>1916</v>
      </c>
      <c r="H198" s="61" t="s">
        <v>1917</v>
      </c>
      <c r="I198" s="61" t="s">
        <v>1506</v>
      </c>
      <c r="J198" s="61"/>
      <c r="K198" s="61"/>
    </row>
    <row r="199" customFormat="false" ht="61.5" hidden="false" customHeight="true" outlineLevel="0" collapsed="false">
      <c r="A199" s="64" t="s">
        <v>1827</v>
      </c>
      <c r="B199" s="60" t="s">
        <v>441</v>
      </c>
      <c r="C199" s="61" t="s">
        <v>423</v>
      </c>
      <c r="D199" s="61" t="s">
        <v>442</v>
      </c>
      <c r="E199" s="62" t="s">
        <v>1498</v>
      </c>
      <c r="F199" s="62" t="s">
        <v>210</v>
      </c>
      <c r="G199" s="61" t="s">
        <v>1918</v>
      </c>
      <c r="H199" s="61" t="s">
        <v>1919</v>
      </c>
      <c r="I199" s="61" t="s">
        <v>1506</v>
      </c>
      <c r="J199" s="61"/>
      <c r="K199" s="61"/>
    </row>
    <row r="200" customFormat="false" ht="61.5" hidden="false" customHeight="true" outlineLevel="0" collapsed="false">
      <c r="A200" s="64" t="s">
        <v>1827</v>
      </c>
      <c r="B200" s="60" t="s">
        <v>441</v>
      </c>
      <c r="C200" s="61" t="s">
        <v>423</v>
      </c>
      <c r="D200" s="61" t="s">
        <v>442</v>
      </c>
      <c r="E200" s="62" t="s">
        <v>1498</v>
      </c>
      <c r="F200" s="62" t="s">
        <v>211</v>
      </c>
      <c r="G200" s="61" t="s">
        <v>1920</v>
      </c>
      <c r="H200" s="61" t="s">
        <v>1921</v>
      </c>
      <c r="I200" s="61" t="s">
        <v>1506</v>
      </c>
      <c r="J200" s="61"/>
      <c r="K200" s="61"/>
    </row>
    <row r="201" customFormat="false" ht="61.5" hidden="false" customHeight="true" outlineLevel="0" collapsed="false">
      <c r="A201" s="64" t="s">
        <v>1827</v>
      </c>
      <c r="B201" s="60" t="s">
        <v>441</v>
      </c>
      <c r="C201" s="61" t="s">
        <v>423</v>
      </c>
      <c r="D201" s="61" t="s">
        <v>442</v>
      </c>
      <c r="E201" s="62" t="s">
        <v>1511</v>
      </c>
      <c r="F201" s="62" t="s">
        <v>1512</v>
      </c>
      <c r="G201" s="61" t="s">
        <v>1922</v>
      </c>
      <c r="H201" s="61" t="s">
        <v>1923</v>
      </c>
      <c r="I201" s="61" t="s">
        <v>1506</v>
      </c>
      <c r="J201" s="61"/>
      <c r="K201" s="61"/>
    </row>
    <row r="202" customFormat="false" ht="61.5" hidden="false" customHeight="true" outlineLevel="0" collapsed="false">
      <c r="A202" s="64" t="s">
        <v>1827</v>
      </c>
      <c r="B202" s="60" t="s">
        <v>441</v>
      </c>
      <c r="C202" s="61" t="s">
        <v>423</v>
      </c>
      <c r="D202" s="61" t="s">
        <v>442</v>
      </c>
      <c r="E202" s="62" t="s">
        <v>1511</v>
      </c>
      <c r="F202" s="62" t="s">
        <v>213</v>
      </c>
      <c r="G202" s="61" t="s">
        <v>1924</v>
      </c>
      <c r="H202" s="61" t="s">
        <v>1925</v>
      </c>
      <c r="I202" s="61" t="s">
        <v>1506</v>
      </c>
      <c r="J202" s="61"/>
      <c r="K202" s="61"/>
    </row>
    <row r="203" customFormat="false" ht="61.5" hidden="false" customHeight="true" outlineLevel="0" collapsed="false">
      <c r="A203" s="64" t="s">
        <v>1827</v>
      </c>
      <c r="B203" s="60" t="s">
        <v>441</v>
      </c>
      <c r="C203" s="61" t="s">
        <v>423</v>
      </c>
      <c r="D203" s="61" t="s">
        <v>442</v>
      </c>
      <c r="E203" s="62" t="s">
        <v>1511</v>
      </c>
      <c r="F203" s="62" t="s">
        <v>214</v>
      </c>
      <c r="G203" s="61" t="s">
        <v>1926</v>
      </c>
      <c r="H203" s="61" t="s">
        <v>1927</v>
      </c>
      <c r="I203" s="61" t="s">
        <v>1506</v>
      </c>
      <c r="J203" s="61"/>
      <c r="K203" s="61"/>
    </row>
    <row r="204" customFormat="false" ht="77.25" hidden="false" customHeight="true" outlineLevel="0" collapsed="false">
      <c r="A204" s="64" t="s">
        <v>1827</v>
      </c>
      <c r="B204" s="60" t="s">
        <v>441</v>
      </c>
      <c r="C204" s="61" t="s">
        <v>423</v>
      </c>
      <c r="D204" s="61" t="s">
        <v>442</v>
      </c>
      <c r="E204" s="62" t="s">
        <v>1511</v>
      </c>
      <c r="F204" s="63" t="s">
        <v>215</v>
      </c>
      <c r="G204" s="61" t="s">
        <v>1928</v>
      </c>
      <c r="H204" s="61" t="s">
        <v>1929</v>
      </c>
      <c r="I204" s="61" t="s">
        <v>1506</v>
      </c>
      <c r="J204" s="61"/>
      <c r="K204" s="61"/>
    </row>
    <row r="205" customFormat="false" ht="93" hidden="false" customHeight="true" outlineLevel="0" collapsed="false">
      <c r="A205" s="64" t="s">
        <v>1827</v>
      </c>
      <c r="B205" s="60" t="s">
        <v>450</v>
      </c>
      <c r="C205" s="61" t="s">
        <v>451</v>
      </c>
      <c r="D205" s="61" t="s">
        <v>452</v>
      </c>
      <c r="E205" s="62" t="s">
        <v>1498</v>
      </c>
      <c r="F205" s="62" t="s">
        <v>1499</v>
      </c>
      <c r="G205" s="61" t="s">
        <v>1930</v>
      </c>
      <c r="H205" s="61" t="s">
        <v>1931</v>
      </c>
      <c r="I205" s="61" t="s">
        <v>1144</v>
      </c>
      <c r="J205" s="61" t="s">
        <v>1932</v>
      </c>
      <c r="K205" s="61" t="s">
        <v>1503</v>
      </c>
    </row>
    <row r="206" customFormat="false" ht="61.5" hidden="false" customHeight="true" outlineLevel="0" collapsed="false">
      <c r="A206" s="64" t="s">
        <v>1827</v>
      </c>
      <c r="B206" s="60" t="s">
        <v>450</v>
      </c>
      <c r="C206" s="61" t="s">
        <v>451</v>
      </c>
      <c r="D206" s="61" t="s">
        <v>452</v>
      </c>
      <c r="E206" s="62" t="s">
        <v>1498</v>
      </c>
      <c r="F206" s="62" t="s">
        <v>209</v>
      </c>
      <c r="G206" s="61" t="s">
        <v>1933</v>
      </c>
      <c r="H206" s="61" t="s">
        <v>1934</v>
      </c>
      <c r="I206" s="61" t="s">
        <v>1506</v>
      </c>
      <c r="J206" s="61"/>
      <c r="K206" s="61"/>
    </row>
    <row r="207" customFormat="false" ht="61.5" hidden="false" customHeight="true" outlineLevel="0" collapsed="false">
      <c r="A207" s="64" t="s">
        <v>1827</v>
      </c>
      <c r="B207" s="60" t="s">
        <v>450</v>
      </c>
      <c r="C207" s="61" t="s">
        <v>451</v>
      </c>
      <c r="D207" s="61" t="s">
        <v>452</v>
      </c>
      <c r="E207" s="62" t="s">
        <v>1498</v>
      </c>
      <c r="F207" s="62" t="s">
        <v>210</v>
      </c>
      <c r="G207" s="61" t="s">
        <v>1935</v>
      </c>
      <c r="H207" s="61" t="s">
        <v>1936</v>
      </c>
      <c r="I207" s="61" t="s">
        <v>1506</v>
      </c>
      <c r="J207" s="61"/>
      <c r="K207" s="61"/>
    </row>
    <row r="208" customFormat="false" ht="61.5" hidden="false" customHeight="true" outlineLevel="0" collapsed="false">
      <c r="A208" s="64" t="s">
        <v>1827</v>
      </c>
      <c r="B208" s="60" t="s">
        <v>450</v>
      </c>
      <c r="C208" s="61" t="s">
        <v>451</v>
      </c>
      <c r="D208" s="61" t="s">
        <v>452</v>
      </c>
      <c r="E208" s="62" t="s">
        <v>1498</v>
      </c>
      <c r="F208" s="62" t="s">
        <v>211</v>
      </c>
      <c r="G208" s="61" t="s">
        <v>1937</v>
      </c>
      <c r="H208" s="61" t="s">
        <v>1938</v>
      </c>
      <c r="I208" s="61" t="s">
        <v>1506</v>
      </c>
      <c r="J208" s="61"/>
      <c r="K208" s="61"/>
    </row>
    <row r="209" customFormat="false" ht="61.5" hidden="false" customHeight="true" outlineLevel="0" collapsed="false">
      <c r="A209" s="64" t="s">
        <v>1827</v>
      </c>
      <c r="B209" s="60" t="s">
        <v>450</v>
      </c>
      <c r="C209" s="61" t="s">
        <v>451</v>
      </c>
      <c r="D209" s="61" t="s">
        <v>452</v>
      </c>
      <c r="E209" s="62" t="s">
        <v>1511</v>
      </c>
      <c r="F209" s="62" t="s">
        <v>1512</v>
      </c>
      <c r="G209" s="61" t="s">
        <v>1939</v>
      </c>
      <c r="H209" s="61" t="s">
        <v>1940</v>
      </c>
      <c r="I209" s="61" t="s">
        <v>1506</v>
      </c>
      <c r="J209" s="61"/>
      <c r="K209" s="61"/>
    </row>
    <row r="210" customFormat="false" ht="61.5" hidden="false" customHeight="true" outlineLevel="0" collapsed="false">
      <c r="A210" s="64" t="s">
        <v>1827</v>
      </c>
      <c r="B210" s="60" t="s">
        <v>450</v>
      </c>
      <c r="C210" s="61" t="s">
        <v>451</v>
      </c>
      <c r="D210" s="61" t="s">
        <v>452</v>
      </c>
      <c r="E210" s="62" t="s">
        <v>1511</v>
      </c>
      <c r="F210" s="62" t="s">
        <v>213</v>
      </c>
      <c r="G210" s="61" t="s">
        <v>1941</v>
      </c>
      <c r="H210" s="61" t="s">
        <v>1942</v>
      </c>
      <c r="I210" s="61" t="s">
        <v>1506</v>
      </c>
      <c r="J210" s="61"/>
      <c r="K210" s="61"/>
    </row>
    <row r="211" customFormat="false" ht="61.5" hidden="false" customHeight="true" outlineLevel="0" collapsed="false">
      <c r="A211" s="64" t="s">
        <v>1827</v>
      </c>
      <c r="B211" s="60" t="s">
        <v>450</v>
      </c>
      <c r="C211" s="61" t="s">
        <v>451</v>
      </c>
      <c r="D211" s="61" t="s">
        <v>452</v>
      </c>
      <c r="E211" s="62" t="s">
        <v>1511</v>
      </c>
      <c r="F211" s="62" t="s">
        <v>214</v>
      </c>
      <c r="G211" s="61" t="s">
        <v>1943</v>
      </c>
      <c r="H211" s="61" t="s">
        <v>1944</v>
      </c>
      <c r="I211" s="61" t="s">
        <v>1506</v>
      </c>
      <c r="J211" s="61"/>
      <c r="K211" s="61"/>
    </row>
    <row r="212" customFormat="false" ht="77.25" hidden="false" customHeight="true" outlineLevel="0" collapsed="false">
      <c r="A212" s="64" t="s">
        <v>1827</v>
      </c>
      <c r="B212" s="60" t="s">
        <v>450</v>
      </c>
      <c r="C212" s="61" t="s">
        <v>451</v>
      </c>
      <c r="D212" s="61" t="s">
        <v>452</v>
      </c>
      <c r="E212" s="62" t="s">
        <v>1511</v>
      </c>
      <c r="F212" s="63" t="s">
        <v>215</v>
      </c>
      <c r="G212" s="61" t="s">
        <v>1945</v>
      </c>
      <c r="H212" s="61" t="s">
        <v>1946</v>
      </c>
      <c r="I212" s="61" t="s">
        <v>1506</v>
      </c>
      <c r="J212" s="61"/>
      <c r="K212" s="61"/>
    </row>
    <row r="213" customFormat="false" ht="93" hidden="false" customHeight="true" outlineLevel="0" collapsed="false">
      <c r="A213" s="64" t="s">
        <v>1827</v>
      </c>
      <c r="B213" s="60" t="s">
        <v>460</v>
      </c>
      <c r="C213" s="61" t="s">
        <v>451</v>
      </c>
      <c r="D213" s="61" t="s">
        <v>461</v>
      </c>
      <c r="E213" s="62" t="s">
        <v>1498</v>
      </c>
      <c r="F213" s="62" t="s">
        <v>1499</v>
      </c>
      <c r="G213" s="61" t="s">
        <v>1947</v>
      </c>
      <c r="H213" s="61" t="s">
        <v>1948</v>
      </c>
      <c r="I213" s="61" t="s">
        <v>1150</v>
      </c>
      <c r="J213" s="61" t="s">
        <v>1949</v>
      </c>
      <c r="K213" s="61" t="s">
        <v>1503</v>
      </c>
    </row>
    <row r="214" customFormat="false" ht="61.5" hidden="false" customHeight="true" outlineLevel="0" collapsed="false">
      <c r="A214" s="64" t="s">
        <v>1827</v>
      </c>
      <c r="B214" s="60" t="s">
        <v>460</v>
      </c>
      <c r="C214" s="61" t="s">
        <v>451</v>
      </c>
      <c r="D214" s="61" t="s">
        <v>461</v>
      </c>
      <c r="E214" s="62" t="s">
        <v>1498</v>
      </c>
      <c r="F214" s="62" t="s">
        <v>209</v>
      </c>
      <c r="G214" s="61" t="s">
        <v>1950</v>
      </c>
      <c r="H214" s="61" t="s">
        <v>1951</v>
      </c>
      <c r="I214" s="61" t="s">
        <v>1506</v>
      </c>
      <c r="J214" s="61"/>
      <c r="K214" s="61"/>
    </row>
    <row r="215" customFormat="false" ht="61.5" hidden="false" customHeight="true" outlineLevel="0" collapsed="false">
      <c r="A215" s="64" t="s">
        <v>1827</v>
      </c>
      <c r="B215" s="60" t="s">
        <v>460</v>
      </c>
      <c r="C215" s="61" t="s">
        <v>451</v>
      </c>
      <c r="D215" s="61" t="s">
        <v>461</v>
      </c>
      <c r="E215" s="62" t="s">
        <v>1498</v>
      </c>
      <c r="F215" s="62" t="s">
        <v>210</v>
      </c>
      <c r="G215" s="61" t="s">
        <v>1952</v>
      </c>
      <c r="H215" s="61" t="s">
        <v>1953</v>
      </c>
      <c r="I215" s="61" t="s">
        <v>1506</v>
      </c>
      <c r="J215" s="61"/>
      <c r="K215" s="61"/>
    </row>
    <row r="216" customFormat="false" ht="61.5" hidden="false" customHeight="true" outlineLevel="0" collapsed="false">
      <c r="A216" s="64" t="s">
        <v>1827</v>
      </c>
      <c r="B216" s="60" t="s">
        <v>460</v>
      </c>
      <c r="C216" s="61" t="s">
        <v>451</v>
      </c>
      <c r="D216" s="61" t="s">
        <v>461</v>
      </c>
      <c r="E216" s="62" t="s">
        <v>1498</v>
      </c>
      <c r="F216" s="62" t="s">
        <v>211</v>
      </c>
      <c r="G216" s="61" t="s">
        <v>1954</v>
      </c>
      <c r="H216" s="61" t="s">
        <v>1955</v>
      </c>
      <c r="I216" s="61" t="s">
        <v>1506</v>
      </c>
      <c r="J216" s="61"/>
      <c r="K216" s="61"/>
    </row>
    <row r="217" customFormat="false" ht="61.5" hidden="false" customHeight="true" outlineLevel="0" collapsed="false">
      <c r="A217" s="64" t="s">
        <v>1827</v>
      </c>
      <c r="B217" s="60" t="s">
        <v>460</v>
      </c>
      <c r="C217" s="61" t="s">
        <v>451</v>
      </c>
      <c r="D217" s="61" t="s">
        <v>461</v>
      </c>
      <c r="E217" s="62" t="s">
        <v>1511</v>
      </c>
      <c r="F217" s="62" t="s">
        <v>1512</v>
      </c>
      <c r="G217" s="61" t="s">
        <v>1956</v>
      </c>
      <c r="H217" s="61" t="s">
        <v>1957</v>
      </c>
      <c r="I217" s="61" t="s">
        <v>1506</v>
      </c>
      <c r="J217" s="61"/>
      <c r="K217" s="61"/>
    </row>
    <row r="218" customFormat="false" ht="61.5" hidden="false" customHeight="true" outlineLevel="0" collapsed="false">
      <c r="A218" s="64" t="s">
        <v>1827</v>
      </c>
      <c r="B218" s="60" t="s">
        <v>460</v>
      </c>
      <c r="C218" s="61" t="s">
        <v>451</v>
      </c>
      <c r="D218" s="61" t="s">
        <v>461</v>
      </c>
      <c r="E218" s="62" t="s">
        <v>1511</v>
      </c>
      <c r="F218" s="62" t="s">
        <v>213</v>
      </c>
      <c r="G218" s="61" t="s">
        <v>1958</v>
      </c>
      <c r="H218" s="61" t="s">
        <v>1959</v>
      </c>
      <c r="I218" s="61" t="s">
        <v>1506</v>
      </c>
      <c r="J218" s="61"/>
      <c r="K218" s="61"/>
    </row>
    <row r="219" customFormat="false" ht="61.5" hidden="false" customHeight="true" outlineLevel="0" collapsed="false">
      <c r="A219" s="64" t="s">
        <v>1827</v>
      </c>
      <c r="B219" s="60" t="s">
        <v>460</v>
      </c>
      <c r="C219" s="61" t="s">
        <v>451</v>
      </c>
      <c r="D219" s="61" t="s">
        <v>461</v>
      </c>
      <c r="E219" s="62" t="s">
        <v>1511</v>
      </c>
      <c r="F219" s="62" t="s">
        <v>214</v>
      </c>
      <c r="G219" s="61" t="s">
        <v>1960</v>
      </c>
      <c r="H219" s="61" t="s">
        <v>1961</v>
      </c>
      <c r="I219" s="61" t="s">
        <v>1506</v>
      </c>
      <c r="J219" s="61"/>
      <c r="K219" s="61"/>
    </row>
    <row r="220" customFormat="false" ht="61.5" hidden="false" customHeight="true" outlineLevel="0" collapsed="false">
      <c r="A220" s="64" t="s">
        <v>1827</v>
      </c>
      <c r="B220" s="60" t="s">
        <v>460</v>
      </c>
      <c r="C220" s="61" t="s">
        <v>451</v>
      </c>
      <c r="D220" s="61" t="s">
        <v>461</v>
      </c>
      <c r="E220" s="62" t="s">
        <v>1511</v>
      </c>
      <c r="F220" s="63" t="s">
        <v>215</v>
      </c>
      <c r="G220" s="61" t="s">
        <v>1962</v>
      </c>
      <c r="H220" s="61" t="s">
        <v>1963</v>
      </c>
      <c r="I220" s="61" t="s">
        <v>1506</v>
      </c>
      <c r="J220" s="61"/>
      <c r="K220" s="61"/>
    </row>
    <row r="221" customFormat="false" ht="93" hidden="false" customHeight="true" outlineLevel="0" collapsed="false">
      <c r="A221" s="64" t="s">
        <v>1827</v>
      </c>
      <c r="B221" s="60" t="s">
        <v>469</v>
      </c>
      <c r="C221" s="61" t="s">
        <v>451</v>
      </c>
      <c r="D221" s="61" t="s">
        <v>470</v>
      </c>
      <c r="E221" s="62" t="s">
        <v>1498</v>
      </c>
      <c r="F221" s="62" t="s">
        <v>1499</v>
      </c>
      <c r="G221" s="61" t="s">
        <v>1964</v>
      </c>
      <c r="H221" s="61" t="s">
        <v>1965</v>
      </c>
      <c r="I221" s="61" t="s">
        <v>1156</v>
      </c>
      <c r="J221" s="61" t="s">
        <v>1966</v>
      </c>
      <c r="K221" s="61" t="s">
        <v>1503</v>
      </c>
    </row>
    <row r="222" customFormat="false" ht="61.5" hidden="false" customHeight="true" outlineLevel="0" collapsed="false">
      <c r="A222" s="64" t="s">
        <v>1827</v>
      </c>
      <c r="B222" s="60" t="s">
        <v>469</v>
      </c>
      <c r="C222" s="61" t="s">
        <v>451</v>
      </c>
      <c r="D222" s="61" t="s">
        <v>470</v>
      </c>
      <c r="E222" s="62" t="s">
        <v>1498</v>
      </c>
      <c r="F222" s="62" t="s">
        <v>209</v>
      </c>
      <c r="G222" s="61" t="s">
        <v>1967</v>
      </c>
      <c r="H222" s="61" t="s">
        <v>1968</v>
      </c>
      <c r="I222" s="61" t="s">
        <v>1506</v>
      </c>
      <c r="J222" s="61"/>
      <c r="K222" s="61"/>
    </row>
    <row r="223" customFormat="false" ht="61.5" hidden="false" customHeight="true" outlineLevel="0" collapsed="false">
      <c r="A223" s="64" t="s">
        <v>1827</v>
      </c>
      <c r="B223" s="60" t="s">
        <v>469</v>
      </c>
      <c r="C223" s="61" t="s">
        <v>451</v>
      </c>
      <c r="D223" s="61" t="s">
        <v>470</v>
      </c>
      <c r="E223" s="62" t="s">
        <v>1498</v>
      </c>
      <c r="F223" s="62" t="s">
        <v>210</v>
      </c>
      <c r="G223" s="61" t="s">
        <v>1969</v>
      </c>
      <c r="H223" s="61" t="s">
        <v>1970</v>
      </c>
      <c r="I223" s="61" t="s">
        <v>1506</v>
      </c>
      <c r="J223" s="61"/>
      <c r="K223" s="61"/>
    </row>
    <row r="224" customFormat="false" ht="61.5" hidden="false" customHeight="true" outlineLevel="0" collapsed="false">
      <c r="A224" s="64" t="s">
        <v>1827</v>
      </c>
      <c r="B224" s="60" t="s">
        <v>469</v>
      </c>
      <c r="C224" s="61" t="s">
        <v>451</v>
      </c>
      <c r="D224" s="61" t="s">
        <v>470</v>
      </c>
      <c r="E224" s="62" t="s">
        <v>1498</v>
      </c>
      <c r="F224" s="62" t="s">
        <v>211</v>
      </c>
      <c r="G224" s="61" t="s">
        <v>1971</v>
      </c>
      <c r="H224" s="61" t="s">
        <v>1972</v>
      </c>
      <c r="I224" s="61" t="s">
        <v>1506</v>
      </c>
      <c r="J224" s="61"/>
      <c r="K224" s="61"/>
    </row>
    <row r="225" customFormat="false" ht="61.5" hidden="false" customHeight="true" outlineLevel="0" collapsed="false">
      <c r="A225" s="64" t="s">
        <v>1827</v>
      </c>
      <c r="B225" s="60" t="s">
        <v>469</v>
      </c>
      <c r="C225" s="61" t="s">
        <v>451</v>
      </c>
      <c r="D225" s="61" t="s">
        <v>470</v>
      </c>
      <c r="E225" s="62" t="s">
        <v>1511</v>
      </c>
      <c r="F225" s="62" t="s">
        <v>1512</v>
      </c>
      <c r="G225" s="61" t="s">
        <v>1973</v>
      </c>
      <c r="H225" s="61" t="s">
        <v>1974</v>
      </c>
      <c r="I225" s="61" t="s">
        <v>1506</v>
      </c>
      <c r="J225" s="61"/>
      <c r="K225" s="61"/>
    </row>
    <row r="226" customFormat="false" ht="61.5" hidden="false" customHeight="true" outlineLevel="0" collapsed="false">
      <c r="A226" s="64" t="s">
        <v>1827</v>
      </c>
      <c r="B226" s="60" t="s">
        <v>469</v>
      </c>
      <c r="C226" s="61" t="s">
        <v>451</v>
      </c>
      <c r="D226" s="61" t="s">
        <v>470</v>
      </c>
      <c r="E226" s="62" t="s">
        <v>1511</v>
      </c>
      <c r="F226" s="62" t="s">
        <v>213</v>
      </c>
      <c r="G226" s="61" t="s">
        <v>1975</v>
      </c>
      <c r="H226" s="61" t="s">
        <v>1976</v>
      </c>
      <c r="I226" s="61" t="s">
        <v>1506</v>
      </c>
      <c r="J226" s="61"/>
      <c r="K226" s="61"/>
    </row>
    <row r="227" customFormat="false" ht="61.5" hidden="false" customHeight="true" outlineLevel="0" collapsed="false">
      <c r="A227" s="64" t="s">
        <v>1827</v>
      </c>
      <c r="B227" s="60" t="s">
        <v>469</v>
      </c>
      <c r="C227" s="61" t="s">
        <v>451</v>
      </c>
      <c r="D227" s="61" t="s">
        <v>470</v>
      </c>
      <c r="E227" s="62" t="s">
        <v>1511</v>
      </c>
      <c r="F227" s="62" t="s">
        <v>214</v>
      </c>
      <c r="G227" s="61" t="s">
        <v>1977</v>
      </c>
      <c r="H227" s="61" t="s">
        <v>1978</v>
      </c>
      <c r="I227" s="61" t="s">
        <v>1506</v>
      </c>
      <c r="J227" s="61"/>
      <c r="K227" s="61"/>
    </row>
    <row r="228" customFormat="false" ht="77.25" hidden="false" customHeight="true" outlineLevel="0" collapsed="false">
      <c r="A228" s="64" t="s">
        <v>1827</v>
      </c>
      <c r="B228" s="60" t="s">
        <v>469</v>
      </c>
      <c r="C228" s="61" t="s">
        <v>451</v>
      </c>
      <c r="D228" s="61" t="s">
        <v>470</v>
      </c>
      <c r="E228" s="62" t="s">
        <v>1511</v>
      </c>
      <c r="F228" s="63" t="s">
        <v>215</v>
      </c>
      <c r="G228" s="61" t="s">
        <v>1979</v>
      </c>
      <c r="H228" s="61" t="s">
        <v>1980</v>
      </c>
      <c r="I228" s="61" t="s">
        <v>1506</v>
      </c>
      <c r="J228" s="61"/>
      <c r="K228" s="61"/>
    </row>
    <row r="229" customFormat="false" ht="93" hidden="false" customHeight="true" outlineLevel="0" collapsed="false">
      <c r="A229" s="64" t="s">
        <v>1827</v>
      </c>
      <c r="B229" s="60" t="s">
        <v>478</v>
      </c>
      <c r="C229" s="61" t="s">
        <v>479</v>
      </c>
      <c r="D229" s="61" t="s">
        <v>480</v>
      </c>
      <c r="E229" s="62" t="s">
        <v>1498</v>
      </c>
      <c r="F229" s="62" t="s">
        <v>1499</v>
      </c>
      <c r="G229" s="61" t="s">
        <v>1981</v>
      </c>
      <c r="H229" s="61" t="s">
        <v>1982</v>
      </c>
      <c r="I229" s="61" t="s">
        <v>1162</v>
      </c>
      <c r="J229" s="61" t="s">
        <v>1983</v>
      </c>
      <c r="K229" s="61" t="s">
        <v>1503</v>
      </c>
    </row>
    <row r="230" customFormat="false" ht="61.5" hidden="false" customHeight="true" outlineLevel="0" collapsed="false">
      <c r="A230" s="64" t="s">
        <v>1827</v>
      </c>
      <c r="B230" s="60" t="s">
        <v>478</v>
      </c>
      <c r="C230" s="61" t="s">
        <v>479</v>
      </c>
      <c r="D230" s="61" t="s">
        <v>480</v>
      </c>
      <c r="E230" s="62" t="s">
        <v>1498</v>
      </c>
      <c r="F230" s="62" t="s">
        <v>209</v>
      </c>
      <c r="G230" s="61" t="s">
        <v>1984</v>
      </c>
      <c r="H230" s="61" t="s">
        <v>1985</v>
      </c>
      <c r="I230" s="61" t="s">
        <v>1506</v>
      </c>
      <c r="J230" s="61"/>
      <c r="K230" s="61"/>
    </row>
    <row r="231" customFormat="false" ht="61.5" hidden="false" customHeight="true" outlineLevel="0" collapsed="false">
      <c r="A231" s="64" t="s">
        <v>1827</v>
      </c>
      <c r="B231" s="60" t="s">
        <v>478</v>
      </c>
      <c r="C231" s="61" t="s">
        <v>479</v>
      </c>
      <c r="D231" s="61" t="s">
        <v>480</v>
      </c>
      <c r="E231" s="62" t="s">
        <v>1498</v>
      </c>
      <c r="F231" s="62" t="s">
        <v>210</v>
      </c>
      <c r="G231" s="61" t="s">
        <v>1986</v>
      </c>
      <c r="H231" s="61" t="s">
        <v>1987</v>
      </c>
      <c r="I231" s="61" t="s">
        <v>1506</v>
      </c>
      <c r="J231" s="61"/>
      <c r="K231" s="61"/>
    </row>
    <row r="232" customFormat="false" ht="61.5" hidden="false" customHeight="true" outlineLevel="0" collapsed="false">
      <c r="A232" s="64" t="s">
        <v>1827</v>
      </c>
      <c r="B232" s="60" t="s">
        <v>478</v>
      </c>
      <c r="C232" s="61" t="s">
        <v>479</v>
      </c>
      <c r="D232" s="61" t="s">
        <v>480</v>
      </c>
      <c r="E232" s="62" t="s">
        <v>1498</v>
      </c>
      <c r="F232" s="62" t="s">
        <v>211</v>
      </c>
      <c r="G232" s="61" t="s">
        <v>1988</v>
      </c>
      <c r="H232" s="61" t="s">
        <v>1989</v>
      </c>
      <c r="I232" s="61" t="s">
        <v>1506</v>
      </c>
      <c r="J232" s="61"/>
      <c r="K232" s="61"/>
    </row>
    <row r="233" customFormat="false" ht="61.5" hidden="false" customHeight="true" outlineLevel="0" collapsed="false">
      <c r="A233" s="64" t="s">
        <v>1827</v>
      </c>
      <c r="B233" s="60" t="s">
        <v>478</v>
      </c>
      <c r="C233" s="61" t="s">
        <v>479</v>
      </c>
      <c r="D233" s="61" t="s">
        <v>480</v>
      </c>
      <c r="E233" s="62" t="s">
        <v>1511</v>
      </c>
      <c r="F233" s="62" t="s">
        <v>1512</v>
      </c>
      <c r="G233" s="61" t="s">
        <v>1990</v>
      </c>
      <c r="H233" s="61" t="s">
        <v>1991</v>
      </c>
      <c r="I233" s="61" t="s">
        <v>1506</v>
      </c>
      <c r="J233" s="61"/>
      <c r="K233" s="61"/>
    </row>
    <row r="234" customFormat="false" ht="61.5" hidden="false" customHeight="true" outlineLevel="0" collapsed="false">
      <c r="A234" s="64" t="s">
        <v>1827</v>
      </c>
      <c r="B234" s="60" t="s">
        <v>478</v>
      </c>
      <c r="C234" s="61" t="s">
        <v>479</v>
      </c>
      <c r="D234" s="61" t="s">
        <v>480</v>
      </c>
      <c r="E234" s="62" t="s">
        <v>1511</v>
      </c>
      <c r="F234" s="62" t="s">
        <v>213</v>
      </c>
      <c r="G234" s="61" t="s">
        <v>1992</v>
      </c>
      <c r="H234" s="61" t="s">
        <v>1993</v>
      </c>
      <c r="I234" s="61" t="s">
        <v>1506</v>
      </c>
      <c r="J234" s="61"/>
      <c r="K234" s="61"/>
    </row>
    <row r="235" customFormat="false" ht="61.5" hidden="false" customHeight="true" outlineLevel="0" collapsed="false">
      <c r="A235" s="64" t="s">
        <v>1827</v>
      </c>
      <c r="B235" s="60" t="s">
        <v>478</v>
      </c>
      <c r="C235" s="61" t="s">
        <v>479</v>
      </c>
      <c r="D235" s="61" t="s">
        <v>480</v>
      </c>
      <c r="E235" s="62" t="s">
        <v>1511</v>
      </c>
      <c r="F235" s="62" t="s">
        <v>214</v>
      </c>
      <c r="G235" s="61" t="s">
        <v>1994</v>
      </c>
      <c r="H235" s="61" t="s">
        <v>1995</v>
      </c>
      <c r="I235" s="61" t="s">
        <v>1506</v>
      </c>
      <c r="J235" s="61"/>
      <c r="K235" s="61"/>
    </row>
    <row r="236" customFormat="false" ht="77.25" hidden="false" customHeight="true" outlineLevel="0" collapsed="false">
      <c r="A236" s="64" t="s">
        <v>1827</v>
      </c>
      <c r="B236" s="60" t="s">
        <v>478</v>
      </c>
      <c r="C236" s="61" t="s">
        <v>479</v>
      </c>
      <c r="D236" s="61" t="s">
        <v>480</v>
      </c>
      <c r="E236" s="62" t="s">
        <v>1511</v>
      </c>
      <c r="F236" s="63" t="s">
        <v>215</v>
      </c>
      <c r="G236" s="61" t="s">
        <v>1996</v>
      </c>
      <c r="H236" s="61" t="s">
        <v>1997</v>
      </c>
      <c r="I236" s="61" t="s">
        <v>1506</v>
      </c>
      <c r="J236" s="61"/>
      <c r="K236" s="61"/>
    </row>
    <row r="237" customFormat="false" ht="77.25" hidden="false" customHeight="true" outlineLevel="0" collapsed="false">
      <c r="A237" s="64" t="s">
        <v>1827</v>
      </c>
      <c r="B237" s="60" t="s">
        <v>488</v>
      </c>
      <c r="C237" s="61" t="s">
        <v>479</v>
      </c>
      <c r="D237" s="61" t="s">
        <v>489</v>
      </c>
      <c r="E237" s="62" t="s">
        <v>1498</v>
      </c>
      <c r="F237" s="62" t="s">
        <v>1499</v>
      </c>
      <c r="G237" s="61" t="s">
        <v>1998</v>
      </c>
      <c r="H237" s="61" t="s">
        <v>1999</v>
      </c>
      <c r="I237" s="61" t="s">
        <v>1168</v>
      </c>
      <c r="J237" s="61" t="s">
        <v>2000</v>
      </c>
      <c r="K237" s="61" t="s">
        <v>1503</v>
      </c>
    </row>
    <row r="238" customFormat="false" ht="77.25" hidden="false" customHeight="true" outlineLevel="0" collapsed="false">
      <c r="A238" s="64" t="s">
        <v>1827</v>
      </c>
      <c r="B238" s="60" t="s">
        <v>488</v>
      </c>
      <c r="C238" s="61" t="s">
        <v>479</v>
      </c>
      <c r="D238" s="61" t="s">
        <v>489</v>
      </c>
      <c r="E238" s="62" t="s">
        <v>1498</v>
      </c>
      <c r="F238" s="62" t="s">
        <v>209</v>
      </c>
      <c r="G238" s="61" t="s">
        <v>2001</v>
      </c>
      <c r="H238" s="61" t="s">
        <v>2002</v>
      </c>
      <c r="I238" s="61" t="s">
        <v>1506</v>
      </c>
      <c r="J238" s="61"/>
      <c r="K238" s="61"/>
    </row>
    <row r="239" customFormat="false" ht="77.25" hidden="false" customHeight="true" outlineLevel="0" collapsed="false">
      <c r="A239" s="64" t="s">
        <v>1827</v>
      </c>
      <c r="B239" s="60" t="s">
        <v>488</v>
      </c>
      <c r="C239" s="61" t="s">
        <v>479</v>
      </c>
      <c r="D239" s="61" t="s">
        <v>489</v>
      </c>
      <c r="E239" s="62" t="s">
        <v>1498</v>
      </c>
      <c r="F239" s="62" t="s">
        <v>210</v>
      </c>
      <c r="G239" s="61" t="s">
        <v>2003</v>
      </c>
      <c r="H239" s="61" t="s">
        <v>2004</v>
      </c>
      <c r="I239" s="61" t="s">
        <v>1506</v>
      </c>
      <c r="J239" s="61"/>
      <c r="K239" s="61"/>
    </row>
    <row r="240" customFormat="false" ht="77.25" hidden="false" customHeight="true" outlineLevel="0" collapsed="false">
      <c r="A240" s="64" t="s">
        <v>1827</v>
      </c>
      <c r="B240" s="60" t="s">
        <v>488</v>
      </c>
      <c r="C240" s="61" t="s">
        <v>479</v>
      </c>
      <c r="D240" s="61" t="s">
        <v>489</v>
      </c>
      <c r="E240" s="62" t="s">
        <v>1498</v>
      </c>
      <c r="F240" s="62" t="s">
        <v>211</v>
      </c>
      <c r="G240" s="61" t="s">
        <v>2005</v>
      </c>
      <c r="H240" s="61" t="s">
        <v>2006</v>
      </c>
      <c r="I240" s="61" t="s">
        <v>1506</v>
      </c>
      <c r="J240" s="61"/>
      <c r="K240" s="61"/>
    </row>
    <row r="241" customFormat="false" ht="77.25" hidden="false" customHeight="true" outlineLevel="0" collapsed="false">
      <c r="A241" s="64" t="s">
        <v>1827</v>
      </c>
      <c r="B241" s="60" t="s">
        <v>488</v>
      </c>
      <c r="C241" s="61" t="s">
        <v>479</v>
      </c>
      <c r="D241" s="61" t="s">
        <v>489</v>
      </c>
      <c r="E241" s="62" t="s">
        <v>1511</v>
      </c>
      <c r="F241" s="62" t="s">
        <v>1512</v>
      </c>
      <c r="G241" s="61" t="s">
        <v>2007</v>
      </c>
      <c r="H241" s="61" t="s">
        <v>2008</v>
      </c>
      <c r="I241" s="61" t="s">
        <v>1506</v>
      </c>
      <c r="J241" s="61"/>
      <c r="K241" s="61"/>
    </row>
    <row r="242" customFormat="false" ht="77.25" hidden="false" customHeight="true" outlineLevel="0" collapsed="false">
      <c r="A242" s="64" t="s">
        <v>1827</v>
      </c>
      <c r="B242" s="60" t="s">
        <v>488</v>
      </c>
      <c r="C242" s="61" t="s">
        <v>479</v>
      </c>
      <c r="D242" s="61" t="s">
        <v>489</v>
      </c>
      <c r="E242" s="62" t="s">
        <v>1511</v>
      </c>
      <c r="F242" s="62" t="s">
        <v>213</v>
      </c>
      <c r="G242" s="61" t="s">
        <v>2009</v>
      </c>
      <c r="H242" s="61" t="s">
        <v>2010</v>
      </c>
      <c r="I242" s="61" t="s">
        <v>1506</v>
      </c>
      <c r="J242" s="61"/>
      <c r="K242" s="61"/>
    </row>
    <row r="243" customFormat="false" ht="77.25" hidden="false" customHeight="true" outlineLevel="0" collapsed="false">
      <c r="A243" s="64" t="s">
        <v>1827</v>
      </c>
      <c r="B243" s="60" t="s">
        <v>488</v>
      </c>
      <c r="C243" s="61" t="s">
        <v>479</v>
      </c>
      <c r="D243" s="61" t="s">
        <v>489</v>
      </c>
      <c r="E243" s="62" t="s">
        <v>1511</v>
      </c>
      <c r="F243" s="62" t="s">
        <v>214</v>
      </c>
      <c r="G243" s="61" t="s">
        <v>2011</v>
      </c>
      <c r="H243" s="61" t="s">
        <v>2012</v>
      </c>
      <c r="I243" s="61" t="s">
        <v>1506</v>
      </c>
      <c r="J243" s="61"/>
      <c r="K243" s="61"/>
    </row>
    <row r="244" customFormat="false" ht="108" hidden="false" customHeight="true" outlineLevel="0" collapsed="false">
      <c r="A244" s="64" t="s">
        <v>1827</v>
      </c>
      <c r="B244" s="60" t="s">
        <v>488</v>
      </c>
      <c r="C244" s="61" t="s">
        <v>479</v>
      </c>
      <c r="D244" s="61" t="s">
        <v>489</v>
      </c>
      <c r="E244" s="62" t="s">
        <v>1511</v>
      </c>
      <c r="F244" s="63" t="s">
        <v>215</v>
      </c>
      <c r="G244" s="61" t="s">
        <v>2013</v>
      </c>
      <c r="H244" s="61" t="s">
        <v>2014</v>
      </c>
      <c r="I244" s="61" t="s">
        <v>1506</v>
      </c>
      <c r="J244" s="61"/>
      <c r="K244" s="61"/>
    </row>
    <row r="245" customFormat="false" ht="93" hidden="false" customHeight="true" outlineLevel="0" collapsed="false">
      <c r="A245" s="64" t="s">
        <v>1827</v>
      </c>
      <c r="B245" s="60" t="s">
        <v>497</v>
      </c>
      <c r="C245" s="61" t="s">
        <v>479</v>
      </c>
      <c r="D245" s="61" t="s">
        <v>498</v>
      </c>
      <c r="E245" s="62" t="s">
        <v>1498</v>
      </c>
      <c r="F245" s="62" t="s">
        <v>1499</v>
      </c>
      <c r="G245" s="61" t="s">
        <v>2015</v>
      </c>
      <c r="H245" s="61" t="s">
        <v>2016</v>
      </c>
      <c r="I245" s="61" t="s">
        <v>1174</v>
      </c>
      <c r="J245" s="61" t="s">
        <v>2017</v>
      </c>
      <c r="K245" s="61" t="s">
        <v>1503</v>
      </c>
    </row>
    <row r="246" customFormat="false" ht="61.5" hidden="false" customHeight="true" outlineLevel="0" collapsed="false">
      <c r="A246" s="64" t="s">
        <v>1827</v>
      </c>
      <c r="B246" s="60" t="s">
        <v>497</v>
      </c>
      <c r="C246" s="61" t="s">
        <v>479</v>
      </c>
      <c r="D246" s="61" t="s">
        <v>498</v>
      </c>
      <c r="E246" s="62" t="s">
        <v>1498</v>
      </c>
      <c r="F246" s="62" t="s">
        <v>209</v>
      </c>
      <c r="G246" s="61" t="s">
        <v>2018</v>
      </c>
      <c r="H246" s="61" t="s">
        <v>2019</v>
      </c>
      <c r="I246" s="61" t="s">
        <v>1506</v>
      </c>
      <c r="J246" s="61"/>
      <c r="K246" s="61"/>
    </row>
    <row r="247" customFormat="false" ht="61.5" hidden="false" customHeight="true" outlineLevel="0" collapsed="false">
      <c r="A247" s="64" t="s">
        <v>1827</v>
      </c>
      <c r="B247" s="60" t="s">
        <v>497</v>
      </c>
      <c r="C247" s="61" t="s">
        <v>479</v>
      </c>
      <c r="D247" s="61" t="s">
        <v>498</v>
      </c>
      <c r="E247" s="62" t="s">
        <v>1498</v>
      </c>
      <c r="F247" s="62" t="s">
        <v>210</v>
      </c>
      <c r="G247" s="61" t="s">
        <v>2020</v>
      </c>
      <c r="H247" s="61" t="s">
        <v>2021</v>
      </c>
      <c r="I247" s="61" t="s">
        <v>1506</v>
      </c>
      <c r="J247" s="61"/>
      <c r="K247" s="61"/>
    </row>
    <row r="248" customFormat="false" ht="61.5" hidden="false" customHeight="true" outlineLevel="0" collapsed="false">
      <c r="A248" s="64" t="s">
        <v>1827</v>
      </c>
      <c r="B248" s="60" t="s">
        <v>497</v>
      </c>
      <c r="C248" s="61" t="s">
        <v>479</v>
      </c>
      <c r="D248" s="61" t="s">
        <v>498</v>
      </c>
      <c r="E248" s="62" t="s">
        <v>1498</v>
      </c>
      <c r="F248" s="62" t="s">
        <v>211</v>
      </c>
      <c r="G248" s="61" t="s">
        <v>2022</v>
      </c>
      <c r="H248" s="61" t="s">
        <v>2023</v>
      </c>
      <c r="I248" s="61" t="s">
        <v>1506</v>
      </c>
      <c r="J248" s="61"/>
      <c r="K248" s="61"/>
    </row>
    <row r="249" customFormat="false" ht="61.5" hidden="false" customHeight="true" outlineLevel="0" collapsed="false">
      <c r="A249" s="64" t="s">
        <v>1827</v>
      </c>
      <c r="B249" s="60" t="s">
        <v>497</v>
      </c>
      <c r="C249" s="61" t="s">
        <v>479</v>
      </c>
      <c r="D249" s="61" t="s">
        <v>498</v>
      </c>
      <c r="E249" s="62" t="s">
        <v>1511</v>
      </c>
      <c r="F249" s="62" t="s">
        <v>1512</v>
      </c>
      <c r="G249" s="61" t="s">
        <v>2024</v>
      </c>
      <c r="H249" s="61" t="s">
        <v>2025</v>
      </c>
      <c r="I249" s="61" t="s">
        <v>1506</v>
      </c>
      <c r="J249" s="61"/>
      <c r="K249" s="61"/>
    </row>
    <row r="250" customFormat="false" ht="61.5" hidden="false" customHeight="true" outlineLevel="0" collapsed="false">
      <c r="A250" s="64" t="s">
        <v>1827</v>
      </c>
      <c r="B250" s="60" t="s">
        <v>497</v>
      </c>
      <c r="C250" s="61" t="s">
        <v>479</v>
      </c>
      <c r="D250" s="61" t="s">
        <v>498</v>
      </c>
      <c r="E250" s="62" t="s">
        <v>1511</v>
      </c>
      <c r="F250" s="62" t="s">
        <v>213</v>
      </c>
      <c r="G250" s="61" t="s">
        <v>2026</v>
      </c>
      <c r="H250" s="61" t="s">
        <v>2027</v>
      </c>
      <c r="I250" s="61" t="s">
        <v>1506</v>
      </c>
      <c r="J250" s="61"/>
      <c r="K250" s="61"/>
    </row>
    <row r="251" customFormat="false" ht="61.5" hidden="false" customHeight="true" outlineLevel="0" collapsed="false">
      <c r="A251" s="64" t="s">
        <v>1827</v>
      </c>
      <c r="B251" s="60" t="s">
        <v>497</v>
      </c>
      <c r="C251" s="61" t="s">
        <v>479</v>
      </c>
      <c r="D251" s="61" t="s">
        <v>498</v>
      </c>
      <c r="E251" s="62" t="s">
        <v>1511</v>
      </c>
      <c r="F251" s="62" t="s">
        <v>214</v>
      </c>
      <c r="G251" s="61" t="s">
        <v>2028</v>
      </c>
      <c r="H251" s="61" t="s">
        <v>2029</v>
      </c>
      <c r="I251" s="61" t="s">
        <v>1506</v>
      </c>
      <c r="J251" s="61"/>
      <c r="K251" s="61"/>
    </row>
    <row r="252" customFormat="false" ht="61.5" hidden="false" customHeight="true" outlineLevel="0" collapsed="false">
      <c r="A252" s="64" t="s">
        <v>1827</v>
      </c>
      <c r="B252" s="60" t="s">
        <v>497</v>
      </c>
      <c r="C252" s="61" t="s">
        <v>479</v>
      </c>
      <c r="D252" s="61" t="s">
        <v>498</v>
      </c>
      <c r="E252" s="62" t="s">
        <v>1511</v>
      </c>
      <c r="F252" s="63" t="s">
        <v>215</v>
      </c>
      <c r="G252" s="61" t="s">
        <v>2030</v>
      </c>
      <c r="H252" s="61" t="s">
        <v>2031</v>
      </c>
      <c r="I252" s="61" t="s">
        <v>1506</v>
      </c>
      <c r="J252" s="61"/>
      <c r="K252" s="61"/>
    </row>
    <row r="253" customFormat="false" ht="77.25" hidden="false" customHeight="true" outlineLevel="0" collapsed="false">
      <c r="A253" s="64" t="s">
        <v>1827</v>
      </c>
      <c r="B253" s="60" t="s">
        <v>506</v>
      </c>
      <c r="C253" s="61" t="s">
        <v>507</v>
      </c>
      <c r="D253" s="61" t="s">
        <v>508</v>
      </c>
      <c r="E253" s="62" t="s">
        <v>1498</v>
      </c>
      <c r="F253" s="62" t="s">
        <v>1499</v>
      </c>
      <c r="G253" s="61" t="s">
        <v>2032</v>
      </c>
      <c r="H253" s="61" t="s">
        <v>2033</v>
      </c>
      <c r="I253" s="61" t="s">
        <v>1180</v>
      </c>
      <c r="J253" s="61" t="s">
        <v>2034</v>
      </c>
      <c r="K253" s="61" t="s">
        <v>1503</v>
      </c>
    </row>
    <row r="254" customFormat="false" ht="61.5" hidden="false" customHeight="true" outlineLevel="0" collapsed="false">
      <c r="A254" s="64" t="s">
        <v>1827</v>
      </c>
      <c r="B254" s="60" t="s">
        <v>506</v>
      </c>
      <c r="C254" s="61" t="s">
        <v>507</v>
      </c>
      <c r="D254" s="61" t="s">
        <v>508</v>
      </c>
      <c r="E254" s="62" t="s">
        <v>1498</v>
      </c>
      <c r="F254" s="62" t="s">
        <v>209</v>
      </c>
      <c r="G254" s="61" t="s">
        <v>2035</v>
      </c>
      <c r="H254" s="61" t="s">
        <v>2036</v>
      </c>
      <c r="I254" s="61" t="s">
        <v>1506</v>
      </c>
      <c r="J254" s="61"/>
      <c r="K254" s="61"/>
    </row>
    <row r="255" customFormat="false" ht="61.5" hidden="false" customHeight="true" outlineLevel="0" collapsed="false">
      <c r="A255" s="64" t="s">
        <v>1827</v>
      </c>
      <c r="B255" s="60" t="s">
        <v>506</v>
      </c>
      <c r="C255" s="61" t="s">
        <v>507</v>
      </c>
      <c r="D255" s="61" t="s">
        <v>508</v>
      </c>
      <c r="E255" s="62" t="s">
        <v>1498</v>
      </c>
      <c r="F255" s="62" t="s">
        <v>210</v>
      </c>
      <c r="G255" s="61" t="s">
        <v>2037</v>
      </c>
      <c r="H255" s="61" t="s">
        <v>2038</v>
      </c>
      <c r="I255" s="61" t="s">
        <v>1506</v>
      </c>
      <c r="J255" s="61"/>
      <c r="K255" s="61"/>
    </row>
    <row r="256" customFormat="false" ht="61.5" hidden="false" customHeight="true" outlineLevel="0" collapsed="false">
      <c r="A256" s="64" t="s">
        <v>1827</v>
      </c>
      <c r="B256" s="60" t="s">
        <v>506</v>
      </c>
      <c r="C256" s="61" t="s">
        <v>507</v>
      </c>
      <c r="D256" s="61" t="s">
        <v>508</v>
      </c>
      <c r="E256" s="62" t="s">
        <v>1498</v>
      </c>
      <c r="F256" s="62" t="s">
        <v>211</v>
      </c>
      <c r="G256" s="61" t="s">
        <v>2039</v>
      </c>
      <c r="H256" s="61" t="s">
        <v>2040</v>
      </c>
      <c r="I256" s="61" t="s">
        <v>1506</v>
      </c>
      <c r="J256" s="61"/>
      <c r="K256" s="61"/>
    </row>
    <row r="257" customFormat="false" ht="61.5" hidden="false" customHeight="true" outlineLevel="0" collapsed="false">
      <c r="A257" s="64" t="s">
        <v>1827</v>
      </c>
      <c r="B257" s="60" t="s">
        <v>506</v>
      </c>
      <c r="C257" s="61" t="s">
        <v>507</v>
      </c>
      <c r="D257" s="61" t="s">
        <v>508</v>
      </c>
      <c r="E257" s="62" t="s">
        <v>1511</v>
      </c>
      <c r="F257" s="62" t="s">
        <v>1512</v>
      </c>
      <c r="G257" s="61" t="s">
        <v>2041</v>
      </c>
      <c r="H257" s="61" t="s">
        <v>2042</v>
      </c>
      <c r="I257" s="61" t="s">
        <v>1506</v>
      </c>
      <c r="J257" s="61"/>
      <c r="K257" s="61"/>
    </row>
    <row r="258" customFormat="false" ht="61.5" hidden="false" customHeight="true" outlineLevel="0" collapsed="false">
      <c r="A258" s="64" t="s">
        <v>1827</v>
      </c>
      <c r="B258" s="60" t="s">
        <v>506</v>
      </c>
      <c r="C258" s="61" t="s">
        <v>507</v>
      </c>
      <c r="D258" s="61" t="s">
        <v>508</v>
      </c>
      <c r="E258" s="62" t="s">
        <v>1511</v>
      </c>
      <c r="F258" s="62" t="s">
        <v>213</v>
      </c>
      <c r="G258" s="61" t="s">
        <v>2043</v>
      </c>
      <c r="H258" s="61" t="s">
        <v>2044</v>
      </c>
      <c r="I258" s="61" t="s">
        <v>1506</v>
      </c>
      <c r="J258" s="61"/>
      <c r="K258" s="61"/>
    </row>
    <row r="259" customFormat="false" ht="61.5" hidden="false" customHeight="true" outlineLevel="0" collapsed="false">
      <c r="A259" s="64" t="s">
        <v>1827</v>
      </c>
      <c r="B259" s="60" t="s">
        <v>506</v>
      </c>
      <c r="C259" s="61" t="s">
        <v>507</v>
      </c>
      <c r="D259" s="61" t="s">
        <v>508</v>
      </c>
      <c r="E259" s="62" t="s">
        <v>1511</v>
      </c>
      <c r="F259" s="62" t="s">
        <v>214</v>
      </c>
      <c r="G259" s="61" t="s">
        <v>2045</v>
      </c>
      <c r="H259" s="61" t="s">
        <v>2046</v>
      </c>
      <c r="I259" s="61" t="s">
        <v>1506</v>
      </c>
      <c r="J259" s="61"/>
      <c r="K259" s="61"/>
    </row>
    <row r="260" customFormat="false" ht="61.5" hidden="false" customHeight="true" outlineLevel="0" collapsed="false">
      <c r="A260" s="64" t="s">
        <v>1827</v>
      </c>
      <c r="B260" s="60" t="s">
        <v>506</v>
      </c>
      <c r="C260" s="61" t="s">
        <v>507</v>
      </c>
      <c r="D260" s="61" t="s">
        <v>508</v>
      </c>
      <c r="E260" s="62" t="s">
        <v>1511</v>
      </c>
      <c r="F260" s="63" t="s">
        <v>215</v>
      </c>
      <c r="G260" s="61" t="s">
        <v>2047</v>
      </c>
      <c r="H260" s="61" t="s">
        <v>2048</v>
      </c>
      <c r="I260" s="61" t="s">
        <v>1506</v>
      </c>
      <c r="J260" s="61"/>
      <c r="K260" s="61"/>
    </row>
    <row r="261" customFormat="false" ht="93" hidden="false" customHeight="true" outlineLevel="0" collapsed="false">
      <c r="A261" s="64" t="s">
        <v>1827</v>
      </c>
      <c r="B261" s="60" t="s">
        <v>516</v>
      </c>
      <c r="C261" s="61" t="s">
        <v>507</v>
      </c>
      <c r="D261" s="61" t="s">
        <v>517</v>
      </c>
      <c r="E261" s="62" t="s">
        <v>1498</v>
      </c>
      <c r="F261" s="62" t="s">
        <v>1499</v>
      </c>
      <c r="G261" s="61" t="s">
        <v>2049</v>
      </c>
      <c r="H261" s="61" t="s">
        <v>2050</v>
      </c>
      <c r="I261" s="61" t="s">
        <v>1186</v>
      </c>
      <c r="J261" s="61" t="s">
        <v>2051</v>
      </c>
      <c r="K261" s="61" t="s">
        <v>1503</v>
      </c>
    </row>
    <row r="262" customFormat="false" ht="61.5" hidden="false" customHeight="true" outlineLevel="0" collapsed="false">
      <c r="A262" s="64" t="s">
        <v>1827</v>
      </c>
      <c r="B262" s="60" t="s">
        <v>516</v>
      </c>
      <c r="C262" s="61" t="s">
        <v>507</v>
      </c>
      <c r="D262" s="61" t="s">
        <v>517</v>
      </c>
      <c r="E262" s="62" t="s">
        <v>1498</v>
      </c>
      <c r="F262" s="62" t="s">
        <v>209</v>
      </c>
      <c r="G262" s="61" t="s">
        <v>2052</v>
      </c>
      <c r="H262" s="61" t="s">
        <v>2053</v>
      </c>
      <c r="I262" s="61" t="s">
        <v>1506</v>
      </c>
      <c r="J262" s="61"/>
      <c r="K262" s="61"/>
    </row>
    <row r="263" customFormat="false" ht="61.5" hidden="false" customHeight="true" outlineLevel="0" collapsed="false">
      <c r="A263" s="64" t="s">
        <v>1827</v>
      </c>
      <c r="B263" s="60" t="s">
        <v>516</v>
      </c>
      <c r="C263" s="61" t="s">
        <v>507</v>
      </c>
      <c r="D263" s="61" t="s">
        <v>517</v>
      </c>
      <c r="E263" s="62" t="s">
        <v>1498</v>
      </c>
      <c r="F263" s="62" t="s">
        <v>210</v>
      </c>
      <c r="G263" s="61" t="s">
        <v>2054</v>
      </c>
      <c r="H263" s="61" t="s">
        <v>2055</v>
      </c>
      <c r="I263" s="61" t="s">
        <v>1506</v>
      </c>
      <c r="J263" s="61"/>
      <c r="K263" s="61"/>
    </row>
    <row r="264" customFormat="false" ht="61.5" hidden="false" customHeight="true" outlineLevel="0" collapsed="false">
      <c r="A264" s="64" t="s">
        <v>1827</v>
      </c>
      <c r="B264" s="60" t="s">
        <v>516</v>
      </c>
      <c r="C264" s="61" t="s">
        <v>507</v>
      </c>
      <c r="D264" s="61" t="s">
        <v>517</v>
      </c>
      <c r="E264" s="62" t="s">
        <v>1498</v>
      </c>
      <c r="F264" s="62" t="s">
        <v>211</v>
      </c>
      <c r="G264" s="61" t="s">
        <v>2056</v>
      </c>
      <c r="H264" s="61" t="s">
        <v>2057</v>
      </c>
      <c r="I264" s="61" t="s">
        <v>1506</v>
      </c>
      <c r="J264" s="61"/>
      <c r="K264" s="61"/>
    </row>
    <row r="265" customFormat="false" ht="77.25" hidden="false" customHeight="true" outlineLevel="0" collapsed="false">
      <c r="A265" s="64" t="s">
        <v>1827</v>
      </c>
      <c r="B265" s="60" t="s">
        <v>516</v>
      </c>
      <c r="C265" s="61" t="s">
        <v>507</v>
      </c>
      <c r="D265" s="61" t="s">
        <v>517</v>
      </c>
      <c r="E265" s="62" t="s">
        <v>1511</v>
      </c>
      <c r="F265" s="62" t="s">
        <v>1512</v>
      </c>
      <c r="G265" s="61" t="s">
        <v>2058</v>
      </c>
      <c r="H265" s="61" t="s">
        <v>2059</v>
      </c>
      <c r="I265" s="61" t="s">
        <v>1506</v>
      </c>
      <c r="J265" s="61"/>
      <c r="K265" s="61"/>
    </row>
    <row r="266" customFormat="false" ht="77.25" hidden="false" customHeight="true" outlineLevel="0" collapsed="false">
      <c r="A266" s="64" t="s">
        <v>1827</v>
      </c>
      <c r="B266" s="60" t="s">
        <v>516</v>
      </c>
      <c r="C266" s="61" t="s">
        <v>507</v>
      </c>
      <c r="D266" s="61" t="s">
        <v>517</v>
      </c>
      <c r="E266" s="62" t="s">
        <v>1511</v>
      </c>
      <c r="F266" s="62" t="s">
        <v>213</v>
      </c>
      <c r="G266" s="61" t="s">
        <v>2060</v>
      </c>
      <c r="H266" s="61" t="s">
        <v>2061</v>
      </c>
      <c r="I266" s="61" t="s">
        <v>1506</v>
      </c>
      <c r="J266" s="61"/>
      <c r="K266" s="61"/>
    </row>
    <row r="267" customFormat="false" ht="77.25" hidden="false" customHeight="true" outlineLevel="0" collapsed="false">
      <c r="A267" s="64" t="s">
        <v>1827</v>
      </c>
      <c r="B267" s="60" t="s">
        <v>516</v>
      </c>
      <c r="C267" s="61" t="s">
        <v>507</v>
      </c>
      <c r="D267" s="61" t="s">
        <v>517</v>
      </c>
      <c r="E267" s="62" t="s">
        <v>1511</v>
      </c>
      <c r="F267" s="62" t="s">
        <v>214</v>
      </c>
      <c r="G267" s="61" t="s">
        <v>2062</v>
      </c>
      <c r="H267" s="61" t="s">
        <v>2063</v>
      </c>
      <c r="I267" s="61" t="s">
        <v>1506</v>
      </c>
      <c r="J267" s="61"/>
      <c r="K267" s="61"/>
    </row>
    <row r="268" customFormat="false" ht="93" hidden="false" customHeight="true" outlineLevel="0" collapsed="false">
      <c r="A268" s="64" t="s">
        <v>1827</v>
      </c>
      <c r="B268" s="60" t="s">
        <v>516</v>
      </c>
      <c r="C268" s="61" t="s">
        <v>507</v>
      </c>
      <c r="D268" s="61" t="s">
        <v>517</v>
      </c>
      <c r="E268" s="62" t="s">
        <v>1511</v>
      </c>
      <c r="F268" s="63" t="s">
        <v>215</v>
      </c>
      <c r="G268" s="61" t="s">
        <v>2064</v>
      </c>
      <c r="H268" s="61" t="s">
        <v>2065</v>
      </c>
      <c r="I268" s="61" t="s">
        <v>1506</v>
      </c>
      <c r="J268" s="61"/>
      <c r="K268" s="61"/>
    </row>
    <row r="269" customFormat="false" ht="93" hidden="false" customHeight="true" outlineLevel="0" collapsed="false">
      <c r="A269" s="64" t="s">
        <v>1827</v>
      </c>
      <c r="B269" s="60" t="s">
        <v>525</v>
      </c>
      <c r="C269" s="61" t="s">
        <v>507</v>
      </c>
      <c r="D269" s="61" t="s">
        <v>526</v>
      </c>
      <c r="E269" s="62" t="s">
        <v>1498</v>
      </c>
      <c r="F269" s="62" t="s">
        <v>1499</v>
      </c>
      <c r="G269" s="61" t="s">
        <v>2066</v>
      </c>
      <c r="H269" s="61" t="s">
        <v>2067</v>
      </c>
      <c r="I269" s="61" t="s">
        <v>1192</v>
      </c>
      <c r="J269" s="61" t="s">
        <v>2068</v>
      </c>
      <c r="K269" s="61" t="s">
        <v>1503</v>
      </c>
    </row>
    <row r="270" customFormat="false" ht="61.5" hidden="false" customHeight="true" outlineLevel="0" collapsed="false">
      <c r="A270" s="64" t="s">
        <v>1827</v>
      </c>
      <c r="B270" s="60" t="s">
        <v>525</v>
      </c>
      <c r="C270" s="61" t="s">
        <v>507</v>
      </c>
      <c r="D270" s="61" t="s">
        <v>526</v>
      </c>
      <c r="E270" s="62" t="s">
        <v>1498</v>
      </c>
      <c r="F270" s="62" t="s">
        <v>209</v>
      </c>
      <c r="G270" s="61" t="s">
        <v>2069</v>
      </c>
      <c r="H270" s="61" t="s">
        <v>2070</v>
      </c>
      <c r="I270" s="61" t="s">
        <v>1506</v>
      </c>
      <c r="J270" s="61"/>
      <c r="K270" s="61"/>
    </row>
    <row r="271" customFormat="false" ht="61.5" hidden="false" customHeight="true" outlineLevel="0" collapsed="false">
      <c r="A271" s="64" t="s">
        <v>1827</v>
      </c>
      <c r="B271" s="60" t="s">
        <v>525</v>
      </c>
      <c r="C271" s="61" t="s">
        <v>507</v>
      </c>
      <c r="D271" s="61" t="s">
        <v>526</v>
      </c>
      <c r="E271" s="62" t="s">
        <v>1498</v>
      </c>
      <c r="F271" s="62" t="s">
        <v>210</v>
      </c>
      <c r="G271" s="61" t="s">
        <v>2071</v>
      </c>
      <c r="H271" s="61" t="s">
        <v>2072</v>
      </c>
      <c r="I271" s="61" t="s">
        <v>1506</v>
      </c>
      <c r="J271" s="61"/>
      <c r="K271" s="61"/>
    </row>
    <row r="272" customFormat="false" ht="61.5" hidden="false" customHeight="true" outlineLevel="0" collapsed="false">
      <c r="A272" s="64" t="s">
        <v>1827</v>
      </c>
      <c r="B272" s="60" t="s">
        <v>525</v>
      </c>
      <c r="C272" s="61" t="s">
        <v>507</v>
      </c>
      <c r="D272" s="61" t="s">
        <v>526</v>
      </c>
      <c r="E272" s="62" t="s">
        <v>1498</v>
      </c>
      <c r="F272" s="62" t="s">
        <v>211</v>
      </c>
      <c r="G272" s="61" t="s">
        <v>2073</v>
      </c>
      <c r="H272" s="61" t="s">
        <v>2074</v>
      </c>
      <c r="I272" s="61" t="s">
        <v>1506</v>
      </c>
      <c r="J272" s="61"/>
      <c r="K272" s="61"/>
    </row>
    <row r="273" customFormat="false" ht="61.5" hidden="false" customHeight="true" outlineLevel="0" collapsed="false">
      <c r="A273" s="64" t="s">
        <v>1827</v>
      </c>
      <c r="B273" s="60" t="s">
        <v>525</v>
      </c>
      <c r="C273" s="61" t="s">
        <v>507</v>
      </c>
      <c r="D273" s="61" t="s">
        <v>526</v>
      </c>
      <c r="E273" s="62" t="s">
        <v>1511</v>
      </c>
      <c r="F273" s="62" t="s">
        <v>1512</v>
      </c>
      <c r="G273" s="61" t="s">
        <v>2075</v>
      </c>
      <c r="H273" s="61" t="s">
        <v>2076</v>
      </c>
      <c r="I273" s="61" t="s">
        <v>1506</v>
      </c>
      <c r="J273" s="61"/>
      <c r="K273" s="61"/>
    </row>
    <row r="274" customFormat="false" ht="61.5" hidden="false" customHeight="true" outlineLevel="0" collapsed="false">
      <c r="A274" s="64" t="s">
        <v>1827</v>
      </c>
      <c r="B274" s="60" t="s">
        <v>525</v>
      </c>
      <c r="C274" s="61" t="s">
        <v>507</v>
      </c>
      <c r="D274" s="61" t="s">
        <v>526</v>
      </c>
      <c r="E274" s="62" t="s">
        <v>1511</v>
      </c>
      <c r="F274" s="62" t="s">
        <v>213</v>
      </c>
      <c r="G274" s="61" t="s">
        <v>2077</v>
      </c>
      <c r="H274" s="61" t="s">
        <v>2078</v>
      </c>
      <c r="I274" s="61" t="s">
        <v>1506</v>
      </c>
      <c r="J274" s="61"/>
      <c r="K274" s="61"/>
    </row>
    <row r="275" customFormat="false" ht="61.5" hidden="false" customHeight="true" outlineLevel="0" collapsed="false">
      <c r="A275" s="64" t="s">
        <v>1827</v>
      </c>
      <c r="B275" s="60" t="s">
        <v>525</v>
      </c>
      <c r="C275" s="61" t="s">
        <v>507</v>
      </c>
      <c r="D275" s="61" t="s">
        <v>526</v>
      </c>
      <c r="E275" s="62" t="s">
        <v>1511</v>
      </c>
      <c r="F275" s="62" t="s">
        <v>214</v>
      </c>
      <c r="G275" s="61" t="s">
        <v>2079</v>
      </c>
      <c r="H275" s="61" t="s">
        <v>2080</v>
      </c>
      <c r="I275" s="61" t="s">
        <v>1506</v>
      </c>
      <c r="J275" s="61"/>
      <c r="K275" s="61"/>
    </row>
    <row r="276" customFormat="false" ht="77.25" hidden="false" customHeight="true" outlineLevel="0" collapsed="false">
      <c r="A276" s="64" t="s">
        <v>1827</v>
      </c>
      <c r="B276" s="60" t="s">
        <v>525</v>
      </c>
      <c r="C276" s="61" t="s">
        <v>507</v>
      </c>
      <c r="D276" s="61" t="s">
        <v>526</v>
      </c>
      <c r="E276" s="62" t="s">
        <v>1511</v>
      </c>
      <c r="F276" s="63" t="s">
        <v>215</v>
      </c>
      <c r="G276" s="61" t="s">
        <v>2081</v>
      </c>
      <c r="H276" s="61" t="s">
        <v>2082</v>
      </c>
      <c r="I276" s="61" t="s">
        <v>1506</v>
      </c>
      <c r="J276" s="61"/>
      <c r="K276" s="61"/>
    </row>
    <row r="277" customFormat="false" ht="77.25" hidden="false" customHeight="true" outlineLevel="0" collapsed="false">
      <c r="A277" s="64" t="s">
        <v>1827</v>
      </c>
      <c r="B277" s="60" t="s">
        <v>534</v>
      </c>
      <c r="C277" s="61" t="s">
        <v>535</v>
      </c>
      <c r="D277" s="61" t="s">
        <v>536</v>
      </c>
      <c r="E277" s="62" t="s">
        <v>1498</v>
      </c>
      <c r="F277" s="62" t="s">
        <v>1499</v>
      </c>
      <c r="G277" s="61" t="s">
        <v>2083</v>
      </c>
      <c r="H277" s="61" t="s">
        <v>2084</v>
      </c>
      <c r="I277" s="61" t="s">
        <v>1198</v>
      </c>
      <c r="J277" s="61" t="s">
        <v>2085</v>
      </c>
      <c r="K277" s="61" t="s">
        <v>1503</v>
      </c>
    </row>
    <row r="278" customFormat="false" ht="61.5" hidden="false" customHeight="true" outlineLevel="0" collapsed="false">
      <c r="A278" s="64" t="s">
        <v>1827</v>
      </c>
      <c r="B278" s="60" t="s">
        <v>534</v>
      </c>
      <c r="C278" s="61" t="s">
        <v>535</v>
      </c>
      <c r="D278" s="61" t="s">
        <v>536</v>
      </c>
      <c r="E278" s="62" t="s">
        <v>1498</v>
      </c>
      <c r="F278" s="62" t="s">
        <v>209</v>
      </c>
      <c r="G278" s="61" t="s">
        <v>2086</v>
      </c>
      <c r="H278" s="61" t="s">
        <v>2087</v>
      </c>
      <c r="I278" s="61" t="s">
        <v>1506</v>
      </c>
      <c r="J278" s="61"/>
      <c r="K278" s="61"/>
    </row>
    <row r="279" customFormat="false" ht="61.5" hidden="false" customHeight="true" outlineLevel="0" collapsed="false">
      <c r="A279" s="64" t="s">
        <v>1827</v>
      </c>
      <c r="B279" s="60" t="s">
        <v>534</v>
      </c>
      <c r="C279" s="61" t="s">
        <v>535</v>
      </c>
      <c r="D279" s="61" t="s">
        <v>536</v>
      </c>
      <c r="E279" s="62" t="s">
        <v>1498</v>
      </c>
      <c r="F279" s="62" t="s">
        <v>210</v>
      </c>
      <c r="G279" s="61" t="s">
        <v>2088</v>
      </c>
      <c r="H279" s="61" t="s">
        <v>2089</v>
      </c>
      <c r="I279" s="61" t="s">
        <v>1506</v>
      </c>
      <c r="J279" s="61"/>
      <c r="K279" s="61"/>
    </row>
    <row r="280" customFormat="false" ht="61.5" hidden="false" customHeight="true" outlineLevel="0" collapsed="false">
      <c r="A280" s="64" t="s">
        <v>1827</v>
      </c>
      <c r="B280" s="60" t="s">
        <v>534</v>
      </c>
      <c r="C280" s="61" t="s">
        <v>535</v>
      </c>
      <c r="D280" s="61" t="s">
        <v>536</v>
      </c>
      <c r="E280" s="62" t="s">
        <v>1498</v>
      </c>
      <c r="F280" s="62" t="s">
        <v>211</v>
      </c>
      <c r="G280" s="61" t="s">
        <v>2090</v>
      </c>
      <c r="H280" s="61" t="s">
        <v>2091</v>
      </c>
      <c r="I280" s="61" t="s">
        <v>1506</v>
      </c>
      <c r="J280" s="61"/>
      <c r="K280" s="61"/>
    </row>
    <row r="281" customFormat="false" ht="61.5" hidden="false" customHeight="true" outlineLevel="0" collapsed="false">
      <c r="A281" s="64" t="s">
        <v>1827</v>
      </c>
      <c r="B281" s="60" t="s">
        <v>534</v>
      </c>
      <c r="C281" s="61" t="s">
        <v>535</v>
      </c>
      <c r="D281" s="61" t="s">
        <v>536</v>
      </c>
      <c r="E281" s="62" t="s">
        <v>1511</v>
      </c>
      <c r="F281" s="62" t="s">
        <v>1512</v>
      </c>
      <c r="G281" s="61" t="s">
        <v>2092</v>
      </c>
      <c r="H281" s="61" t="s">
        <v>2093</v>
      </c>
      <c r="I281" s="61" t="s">
        <v>1506</v>
      </c>
      <c r="J281" s="61"/>
      <c r="K281" s="61"/>
    </row>
    <row r="282" customFormat="false" ht="61.5" hidden="false" customHeight="true" outlineLevel="0" collapsed="false">
      <c r="A282" s="64" t="s">
        <v>1827</v>
      </c>
      <c r="B282" s="60" t="s">
        <v>534</v>
      </c>
      <c r="C282" s="61" t="s">
        <v>535</v>
      </c>
      <c r="D282" s="61" t="s">
        <v>536</v>
      </c>
      <c r="E282" s="62" t="s">
        <v>1511</v>
      </c>
      <c r="F282" s="62" t="s">
        <v>213</v>
      </c>
      <c r="G282" s="61" t="s">
        <v>2094</v>
      </c>
      <c r="H282" s="61" t="s">
        <v>2095</v>
      </c>
      <c r="I282" s="61" t="s">
        <v>1506</v>
      </c>
      <c r="J282" s="61"/>
      <c r="K282" s="61"/>
    </row>
    <row r="283" customFormat="false" ht="61.5" hidden="false" customHeight="true" outlineLevel="0" collapsed="false">
      <c r="A283" s="64" t="s">
        <v>1827</v>
      </c>
      <c r="B283" s="60" t="s">
        <v>534</v>
      </c>
      <c r="C283" s="61" t="s">
        <v>535</v>
      </c>
      <c r="D283" s="61" t="s">
        <v>536</v>
      </c>
      <c r="E283" s="62" t="s">
        <v>1511</v>
      </c>
      <c r="F283" s="62" t="s">
        <v>214</v>
      </c>
      <c r="G283" s="61" t="s">
        <v>2096</v>
      </c>
      <c r="H283" s="61" t="s">
        <v>2097</v>
      </c>
      <c r="I283" s="61" t="s">
        <v>1506</v>
      </c>
      <c r="J283" s="61"/>
      <c r="K283" s="61"/>
    </row>
    <row r="284" customFormat="false" ht="77.25" hidden="false" customHeight="true" outlineLevel="0" collapsed="false">
      <c r="A284" s="64" t="s">
        <v>1827</v>
      </c>
      <c r="B284" s="60" t="s">
        <v>534</v>
      </c>
      <c r="C284" s="61" t="s">
        <v>535</v>
      </c>
      <c r="D284" s="61" t="s">
        <v>536</v>
      </c>
      <c r="E284" s="62" t="s">
        <v>1511</v>
      </c>
      <c r="F284" s="63" t="s">
        <v>215</v>
      </c>
      <c r="G284" s="61" t="s">
        <v>2098</v>
      </c>
      <c r="H284" s="61" t="s">
        <v>2099</v>
      </c>
      <c r="I284" s="61" t="s">
        <v>1506</v>
      </c>
      <c r="J284" s="61"/>
      <c r="K284" s="61"/>
    </row>
    <row r="285" customFormat="false" ht="77.25" hidden="false" customHeight="true" outlineLevel="0" collapsed="false">
      <c r="A285" s="64" t="s">
        <v>1827</v>
      </c>
      <c r="B285" s="60" t="s">
        <v>544</v>
      </c>
      <c r="C285" s="61" t="s">
        <v>535</v>
      </c>
      <c r="D285" s="61" t="s">
        <v>545</v>
      </c>
      <c r="E285" s="62" t="s">
        <v>1498</v>
      </c>
      <c r="F285" s="62" t="s">
        <v>1499</v>
      </c>
      <c r="G285" s="61" t="s">
        <v>2100</v>
      </c>
      <c r="H285" s="61" t="s">
        <v>2101</v>
      </c>
      <c r="I285" s="61" t="s">
        <v>1204</v>
      </c>
      <c r="J285" s="61" t="s">
        <v>2102</v>
      </c>
      <c r="K285" s="61" t="s">
        <v>1503</v>
      </c>
    </row>
    <row r="286" customFormat="false" ht="61.5" hidden="false" customHeight="true" outlineLevel="0" collapsed="false">
      <c r="A286" s="64" t="s">
        <v>1827</v>
      </c>
      <c r="B286" s="60" t="s">
        <v>544</v>
      </c>
      <c r="C286" s="61" t="s">
        <v>535</v>
      </c>
      <c r="D286" s="61" t="s">
        <v>545</v>
      </c>
      <c r="E286" s="62" t="s">
        <v>1498</v>
      </c>
      <c r="F286" s="62" t="s">
        <v>209</v>
      </c>
      <c r="G286" s="61" t="s">
        <v>2103</v>
      </c>
      <c r="H286" s="61" t="s">
        <v>2104</v>
      </c>
      <c r="I286" s="61" t="s">
        <v>1506</v>
      </c>
      <c r="J286" s="61"/>
      <c r="K286" s="61"/>
    </row>
    <row r="287" customFormat="false" ht="61.5" hidden="false" customHeight="true" outlineLevel="0" collapsed="false">
      <c r="A287" s="64" t="s">
        <v>1827</v>
      </c>
      <c r="B287" s="60" t="s">
        <v>544</v>
      </c>
      <c r="C287" s="61" t="s">
        <v>535</v>
      </c>
      <c r="D287" s="61" t="s">
        <v>545</v>
      </c>
      <c r="E287" s="62" t="s">
        <v>1498</v>
      </c>
      <c r="F287" s="62" t="s">
        <v>210</v>
      </c>
      <c r="G287" s="61" t="s">
        <v>2105</v>
      </c>
      <c r="H287" s="61" t="s">
        <v>2106</v>
      </c>
      <c r="I287" s="61" t="s">
        <v>1506</v>
      </c>
      <c r="J287" s="61"/>
      <c r="K287" s="61"/>
    </row>
    <row r="288" customFormat="false" ht="61.5" hidden="false" customHeight="true" outlineLevel="0" collapsed="false">
      <c r="A288" s="64" t="s">
        <v>1827</v>
      </c>
      <c r="B288" s="60" t="s">
        <v>544</v>
      </c>
      <c r="C288" s="61" t="s">
        <v>535</v>
      </c>
      <c r="D288" s="61" t="s">
        <v>545</v>
      </c>
      <c r="E288" s="62" t="s">
        <v>1498</v>
      </c>
      <c r="F288" s="62" t="s">
        <v>211</v>
      </c>
      <c r="G288" s="61" t="s">
        <v>2107</v>
      </c>
      <c r="H288" s="61" t="s">
        <v>2108</v>
      </c>
      <c r="I288" s="61" t="s">
        <v>1506</v>
      </c>
      <c r="J288" s="61"/>
      <c r="K288" s="61"/>
    </row>
    <row r="289" customFormat="false" ht="61.5" hidden="false" customHeight="true" outlineLevel="0" collapsed="false">
      <c r="A289" s="64" t="s">
        <v>1827</v>
      </c>
      <c r="B289" s="60" t="s">
        <v>544</v>
      </c>
      <c r="C289" s="61" t="s">
        <v>535</v>
      </c>
      <c r="D289" s="61" t="s">
        <v>545</v>
      </c>
      <c r="E289" s="62" t="s">
        <v>1511</v>
      </c>
      <c r="F289" s="62" t="s">
        <v>1512</v>
      </c>
      <c r="G289" s="61" t="s">
        <v>2109</v>
      </c>
      <c r="H289" s="61" t="s">
        <v>2110</v>
      </c>
      <c r="I289" s="61" t="s">
        <v>1506</v>
      </c>
      <c r="J289" s="61"/>
      <c r="K289" s="61"/>
    </row>
    <row r="290" customFormat="false" ht="61.5" hidden="false" customHeight="true" outlineLevel="0" collapsed="false">
      <c r="A290" s="64" t="s">
        <v>1827</v>
      </c>
      <c r="B290" s="60" t="s">
        <v>544</v>
      </c>
      <c r="C290" s="61" t="s">
        <v>535</v>
      </c>
      <c r="D290" s="61" t="s">
        <v>545</v>
      </c>
      <c r="E290" s="62" t="s">
        <v>1511</v>
      </c>
      <c r="F290" s="62" t="s">
        <v>213</v>
      </c>
      <c r="G290" s="61" t="s">
        <v>2111</v>
      </c>
      <c r="H290" s="61" t="s">
        <v>2112</v>
      </c>
      <c r="I290" s="61" t="s">
        <v>1506</v>
      </c>
      <c r="J290" s="61"/>
      <c r="K290" s="61"/>
    </row>
    <row r="291" customFormat="false" ht="61.5" hidden="false" customHeight="true" outlineLevel="0" collapsed="false">
      <c r="A291" s="64" t="s">
        <v>1827</v>
      </c>
      <c r="B291" s="60" t="s">
        <v>544</v>
      </c>
      <c r="C291" s="61" t="s">
        <v>535</v>
      </c>
      <c r="D291" s="61" t="s">
        <v>545</v>
      </c>
      <c r="E291" s="62" t="s">
        <v>1511</v>
      </c>
      <c r="F291" s="62" t="s">
        <v>214</v>
      </c>
      <c r="G291" s="61" t="s">
        <v>2113</v>
      </c>
      <c r="H291" s="61" t="s">
        <v>2114</v>
      </c>
      <c r="I291" s="61" t="s">
        <v>1506</v>
      </c>
      <c r="J291" s="61"/>
      <c r="K291" s="61"/>
    </row>
    <row r="292" customFormat="false" ht="77.25" hidden="false" customHeight="true" outlineLevel="0" collapsed="false">
      <c r="A292" s="64" t="s">
        <v>1827</v>
      </c>
      <c r="B292" s="60" t="s">
        <v>544</v>
      </c>
      <c r="C292" s="61" t="s">
        <v>535</v>
      </c>
      <c r="D292" s="61" t="s">
        <v>545</v>
      </c>
      <c r="E292" s="62" t="s">
        <v>1511</v>
      </c>
      <c r="F292" s="63" t="s">
        <v>215</v>
      </c>
      <c r="G292" s="61" t="s">
        <v>2115</v>
      </c>
      <c r="H292" s="61" t="s">
        <v>2116</v>
      </c>
      <c r="I292" s="61" t="s">
        <v>1506</v>
      </c>
      <c r="J292" s="61"/>
      <c r="K292" s="61"/>
    </row>
    <row r="293" customFormat="false" ht="93" hidden="false" customHeight="true" outlineLevel="0" collapsed="false">
      <c r="A293" s="64" t="s">
        <v>1827</v>
      </c>
      <c r="B293" s="60" t="s">
        <v>553</v>
      </c>
      <c r="C293" s="61" t="s">
        <v>554</v>
      </c>
      <c r="D293" s="61" t="s">
        <v>555</v>
      </c>
      <c r="E293" s="62" t="s">
        <v>1498</v>
      </c>
      <c r="F293" s="62" t="s">
        <v>1499</v>
      </c>
      <c r="G293" s="61" t="s">
        <v>2117</v>
      </c>
      <c r="H293" s="61" t="s">
        <v>2118</v>
      </c>
      <c r="I293" s="61" t="s">
        <v>1210</v>
      </c>
      <c r="J293" s="61" t="s">
        <v>2119</v>
      </c>
      <c r="K293" s="61" t="s">
        <v>1503</v>
      </c>
    </row>
    <row r="294" customFormat="false" ht="61.5" hidden="false" customHeight="true" outlineLevel="0" collapsed="false">
      <c r="A294" s="64" t="s">
        <v>1827</v>
      </c>
      <c r="B294" s="60" t="s">
        <v>553</v>
      </c>
      <c r="C294" s="61" t="s">
        <v>554</v>
      </c>
      <c r="D294" s="61" t="s">
        <v>555</v>
      </c>
      <c r="E294" s="62" t="s">
        <v>1498</v>
      </c>
      <c r="F294" s="62" t="s">
        <v>209</v>
      </c>
      <c r="G294" s="61" t="s">
        <v>2120</v>
      </c>
      <c r="H294" s="61" t="s">
        <v>2121</v>
      </c>
      <c r="I294" s="61" t="s">
        <v>1506</v>
      </c>
      <c r="J294" s="61"/>
      <c r="K294" s="61"/>
    </row>
    <row r="295" customFormat="false" ht="61.5" hidden="false" customHeight="true" outlineLevel="0" collapsed="false">
      <c r="A295" s="64" t="s">
        <v>1827</v>
      </c>
      <c r="B295" s="60" t="s">
        <v>553</v>
      </c>
      <c r="C295" s="61" t="s">
        <v>554</v>
      </c>
      <c r="D295" s="61" t="s">
        <v>555</v>
      </c>
      <c r="E295" s="62" t="s">
        <v>1498</v>
      </c>
      <c r="F295" s="62" t="s">
        <v>210</v>
      </c>
      <c r="G295" s="61" t="s">
        <v>2122</v>
      </c>
      <c r="H295" s="61" t="s">
        <v>2123</v>
      </c>
      <c r="I295" s="61" t="s">
        <v>1506</v>
      </c>
      <c r="J295" s="61"/>
      <c r="K295" s="61"/>
    </row>
    <row r="296" customFormat="false" ht="61.5" hidden="false" customHeight="true" outlineLevel="0" collapsed="false">
      <c r="A296" s="64" t="s">
        <v>1827</v>
      </c>
      <c r="B296" s="60" t="s">
        <v>553</v>
      </c>
      <c r="C296" s="61" t="s">
        <v>554</v>
      </c>
      <c r="D296" s="61" t="s">
        <v>555</v>
      </c>
      <c r="E296" s="62" t="s">
        <v>1498</v>
      </c>
      <c r="F296" s="62" t="s">
        <v>211</v>
      </c>
      <c r="G296" s="61" t="s">
        <v>2124</v>
      </c>
      <c r="H296" s="61" t="s">
        <v>2125</v>
      </c>
      <c r="I296" s="61" t="s">
        <v>1506</v>
      </c>
      <c r="J296" s="61"/>
      <c r="K296" s="61"/>
    </row>
    <row r="297" customFormat="false" ht="61.5" hidden="false" customHeight="true" outlineLevel="0" collapsed="false">
      <c r="A297" s="64" t="s">
        <v>1827</v>
      </c>
      <c r="B297" s="60" t="s">
        <v>553</v>
      </c>
      <c r="C297" s="61" t="s">
        <v>554</v>
      </c>
      <c r="D297" s="61" t="s">
        <v>555</v>
      </c>
      <c r="E297" s="62" t="s">
        <v>1511</v>
      </c>
      <c r="F297" s="62" t="s">
        <v>1512</v>
      </c>
      <c r="G297" s="61" t="s">
        <v>2126</v>
      </c>
      <c r="H297" s="61" t="s">
        <v>2127</v>
      </c>
      <c r="I297" s="61" t="s">
        <v>1506</v>
      </c>
      <c r="J297" s="61"/>
      <c r="K297" s="61"/>
    </row>
    <row r="298" customFormat="false" ht="61.5" hidden="false" customHeight="true" outlineLevel="0" collapsed="false">
      <c r="A298" s="64" t="s">
        <v>1827</v>
      </c>
      <c r="B298" s="60" t="s">
        <v>553</v>
      </c>
      <c r="C298" s="61" t="s">
        <v>554</v>
      </c>
      <c r="D298" s="61" t="s">
        <v>555</v>
      </c>
      <c r="E298" s="62" t="s">
        <v>1511</v>
      </c>
      <c r="F298" s="62" t="s">
        <v>213</v>
      </c>
      <c r="G298" s="61" t="s">
        <v>2128</v>
      </c>
      <c r="H298" s="61" t="s">
        <v>2129</v>
      </c>
      <c r="I298" s="61" t="s">
        <v>1506</v>
      </c>
      <c r="J298" s="61"/>
      <c r="K298" s="61"/>
    </row>
    <row r="299" customFormat="false" ht="61.5" hidden="false" customHeight="true" outlineLevel="0" collapsed="false">
      <c r="A299" s="64" t="s">
        <v>1827</v>
      </c>
      <c r="B299" s="60" t="s">
        <v>553</v>
      </c>
      <c r="C299" s="61" t="s">
        <v>554</v>
      </c>
      <c r="D299" s="61" t="s">
        <v>555</v>
      </c>
      <c r="E299" s="62" t="s">
        <v>1511</v>
      </c>
      <c r="F299" s="62" t="s">
        <v>214</v>
      </c>
      <c r="G299" s="61" t="s">
        <v>2130</v>
      </c>
      <c r="H299" s="61" t="s">
        <v>2131</v>
      </c>
      <c r="I299" s="61" t="s">
        <v>1506</v>
      </c>
      <c r="J299" s="61"/>
      <c r="K299" s="61"/>
    </row>
    <row r="300" customFormat="false" ht="77.25" hidden="false" customHeight="true" outlineLevel="0" collapsed="false">
      <c r="A300" s="64" t="s">
        <v>1827</v>
      </c>
      <c r="B300" s="60" t="s">
        <v>553</v>
      </c>
      <c r="C300" s="61" t="s">
        <v>554</v>
      </c>
      <c r="D300" s="61" t="s">
        <v>555</v>
      </c>
      <c r="E300" s="62" t="s">
        <v>1511</v>
      </c>
      <c r="F300" s="63" t="s">
        <v>215</v>
      </c>
      <c r="G300" s="61" t="s">
        <v>2132</v>
      </c>
      <c r="H300" s="61" t="s">
        <v>2133</v>
      </c>
      <c r="I300" s="61" t="s">
        <v>1506</v>
      </c>
      <c r="J300" s="61"/>
      <c r="K300" s="61"/>
    </row>
    <row r="301" customFormat="false" ht="77.25" hidden="false" customHeight="true" outlineLevel="0" collapsed="false">
      <c r="A301" s="64" t="s">
        <v>1827</v>
      </c>
      <c r="B301" s="60" t="s">
        <v>563</v>
      </c>
      <c r="C301" s="61" t="s">
        <v>554</v>
      </c>
      <c r="D301" s="61" t="s">
        <v>564</v>
      </c>
      <c r="E301" s="62" t="s">
        <v>1498</v>
      </c>
      <c r="F301" s="62" t="s">
        <v>1499</v>
      </c>
      <c r="G301" s="61" t="s">
        <v>2134</v>
      </c>
      <c r="H301" s="61" t="s">
        <v>2135</v>
      </c>
      <c r="I301" s="61" t="s">
        <v>1216</v>
      </c>
      <c r="J301" s="61" t="s">
        <v>2136</v>
      </c>
      <c r="K301" s="61" t="s">
        <v>1503</v>
      </c>
    </row>
    <row r="302" customFormat="false" ht="61.5" hidden="false" customHeight="true" outlineLevel="0" collapsed="false">
      <c r="A302" s="64" t="s">
        <v>1827</v>
      </c>
      <c r="B302" s="60" t="s">
        <v>563</v>
      </c>
      <c r="C302" s="61" t="s">
        <v>554</v>
      </c>
      <c r="D302" s="61" t="s">
        <v>564</v>
      </c>
      <c r="E302" s="62" t="s">
        <v>1498</v>
      </c>
      <c r="F302" s="62" t="s">
        <v>209</v>
      </c>
      <c r="G302" s="61" t="s">
        <v>2137</v>
      </c>
      <c r="H302" s="61" t="s">
        <v>2138</v>
      </c>
      <c r="I302" s="61" t="s">
        <v>1506</v>
      </c>
      <c r="J302" s="61"/>
      <c r="K302" s="61"/>
    </row>
    <row r="303" customFormat="false" ht="61.5" hidden="false" customHeight="true" outlineLevel="0" collapsed="false">
      <c r="A303" s="64" t="s">
        <v>1827</v>
      </c>
      <c r="B303" s="60" t="s">
        <v>563</v>
      </c>
      <c r="C303" s="61" t="s">
        <v>554</v>
      </c>
      <c r="D303" s="61" t="s">
        <v>564</v>
      </c>
      <c r="E303" s="62" t="s">
        <v>1498</v>
      </c>
      <c r="F303" s="62" t="s">
        <v>210</v>
      </c>
      <c r="G303" s="61" t="s">
        <v>2139</v>
      </c>
      <c r="H303" s="61" t="s">
        <v>2140</v>
      </c>
      <c r="I303" s="61" t="s">
        <v>1506</v>
      </c>
      <c r="J303" s="61"/>
      <c r="K303" s="61"/>
    </row>
    <row r="304" customFormat="false" ht="61.5" hidden="false" customHeight="true" outlineLevel="0" collapsed="false">
      <c r="A304" s="64" t="s">
        <v>1827</v>
      </c>
      <c r="B304" s="60" t="s">
        <v>563</v>
      </c>
      <c r="C304" s="61" t="s">
        <v>554</v>
      </c>
      <c r="D304" s="61" t="s">
        <v>564</v>
      </c>
      <c r="E304" s="62" t="s">
        <v>1498</v>
      </c>
      <c r="F304" s="62" t="s">
        <v>211</v>
      </c>
      <c r="G304" s="61" t="s">
        <v>2141</v>
      </c>
      <c r="H304" s="61" t="s">
        <v>2142</v>
      </c>
      <c r="I304" s="61" t="s">
        <v>1506</v>
      </c>
      <c r="J304" s="61"/>
      <c r="K304" s="61"/>
    </row>
    <row r="305" customFormat="false" ht="61.5" hidden="false" customHeight="true" outlineLevel="0" collapsed="false">
      <c r="A305" s="64" t="s">
        <v>1827</v>
      </c>
      <c r="B305" s="60" t="s">
        <v>563</v>
      </c>
      <c r="C305" s="61" t="s">
        <v>554</v>
      </c>
      <c r="D305" s="61" t="s">
        <v>564</v>
      </c>
      <c r="E305" s="62" t="s">
        <v>1511</v>
      </c>
      <c r="F305" s="62" t="s">
        <v>1512</v>
      </c>
      <c r="G305" s="61" t="s">
        <v>2143</v>
      </c>
      <c r="H305" s="61" t="s">
        <v>2144</v>
      </c>
      <c r="I305" s="61" t="s">
        <v>1506</v>
      </c>
      <c r="J305" s="61"/>
      <c r="K305" s="61"/>
    </row>
    <row r="306" customFormat="false" ht="61.5" hidden="false" customHeight="true" outlineLevel="0" collapsed="false">
      <c r="A306" s="64" t="s">
        <v>1827</v>
      </c>
      <c r="B306" s="60" t="s">
        <v>563</v>
      </c>
      <c r="C306" s="61" t="s">
        <v>554</v>
      </c>
      <c r="D306" s="61" t="s">
        <v>564</v>
      </c>
      <c r="E306" s="62" t="s">
        <v>1511</v>
      </c>
      <c r="F306" s="62" t="s">
        <v>213</v>
      </c>
      <c r="G306" s="61" t="s">
        <v>2145</v>
      </c>
      <c r="H306" s="61" t="s">
        <v>2146</v>
      </c>
      <c r="I306" s="61" t="s">
        <v>1506</v>
      </c>
      <c r="J306" s="61"/>
      <c r="K306" s="61"/>
    </row>
    <row r="307" customFormat="false" ht="61.5" hidden="false" customHeight="true" outlineLevel="0" collapsed="false">
      <c r="A307" s="64" t="s">
        <v>1827</v>
      </c>
      <c r="B307" s="60" t="s">
        <v>563</v>
      </c>
      <c r="C307" s="61" t="s">
        <v>554</v>
      </c>
      <c r="D307" s="61" t="s">
        <v>564</v>
      </c>
      <c r="E307" s="62" t="s">
        <v>1511</v>
      </c>
      <c r="F307" s="62" t="s">
        <v>214</v>
      </c>
      <c r="G307" s="61" t="s">
        <v>2147</v>
      </c>
      <c r="H307" s="61" t="s">
        <v>2148</v>
      </c>
      <c r="I307" s="61" t="s">
        <v>1506</v>
      </c>
      <c r="J307" s="61"/>
      <c r="K307" s="61"/>
    </row>
    <row r="308" customFormat="false" ht="77.25" hidden="false" customHeight="true" outlineLevel="0" collapsed="false">
      <c r="A308" s="64" t="s">
        <v>1827</v>
      </c>
      <c r="B308" s="60" t="s">
        <v>563</v>
      </c>
      <c r="C308" s="61" t="s">
        <v>554</v>
      </c>
      <c r="D308" s="61" t="s">
        <v>564</v>
      </c>
      <c r="E308" s="62" t="s">
        <v>1511</v>
      </c>
      <c r="F308" s="63" t="s">
        <v>215</v>
      </c>
      <c r="G308" s="61" t="s">
        <v>2149</v>
      </c>
      <c r="H308" s="61" t="s">
        <v>2150</v>
      </c>
      <c r="I308" s="61" t="s">
        <v>1506</v>
      </c>
      <c r="J308" s="61"/>
      <c r="K308" s="61"/>
    </row>
    <row r="309" customFormat="false" ht="77.25" hidden="false" customHeight="true" outlineLevel="0" collapsed="false">
      <c r="A309" s="64" t="s">
        <v>1827</v>
      </c>
      <c r="B309" s="60" t="s">
        <v>572</v>
      </c>
      <c r="C309" s="61" t="s">
        <v>554</v>
      </c>
      <c r="D309" s="61" t="s">
        <v>573</v>
      </c>
      <c r="E309" s="62" t="s">
        <v>1498</v>
      </c>
      <c r="F309" s="62" t="s">
        <v>1499</v>
      </c>
      <c r="G309" s="61" t="s">
        <v>2151</v>
      </c>
      <c r="H309" s="61" t="s">
        <v>2152</v>
      </c>
      <c r="I309" s="61" t="s">
        <v>1222</v>
      </c>
      <c r="J309" s="61" t="s">
        <v>2153</v>
      </c>
      <c r="K309" s="61" t="s">
        <v>1503</v>
      </c>
    </row>
    <row r="310" customFormat="false" ht="61.5" hidden="false" customHeight="true" outlineLevel="0" collapsed="false">
      <c r="A310" s="64" t="s">
        <v>1827</v>
      </c>
      <c r="B310" s="60" t="s">
        <v>572</v>
      </c>
      <c r="C310" s="61" t="s">
        <v>554</v>
      </c>
      <c r="D310" s="61" t="s">
        <v>573</v>
      </c>
      <c r="E310" s="62" t="s">
        <v>1498</v>
      </c>
      <c r="F310" s="62" t="s">
        <v>209</v>
      </c>
      <c r="G310" s="61" t="s">
        <v>2154</v>
      </c>
      <c r="H310" s="61" t="s">
        <v>2155</v>
      </c>
      <c r="I310" s="61" t="s">
        <v>1506</v>
      </c>
      <c r="J310" s="61"/>
      <c r="K310" s="61"/>
    </row>
    <row r="311" customFormat="false" ht="61.5" hidden="false" customHeight="true" outlineLevel="0" collapsed="false">
      <c r="A311" s="64" t="s">
        <v>1827</v>
      </c>
      <c r="B311" s="60" t="s">
        <v>572</v>
      </c>
      <c r="C311" s="61" t="s">
        <v>554</v>
      </c>
      <c r="D311" s="61" t="s">
        <v>573</v>
      </c>
      <c r="E311" s="62" t="s">
        <v>1498</v>
      </c>
      <c r="F311" s="62" t="s">
        <v>210</v>
      </c>
      <c r="G311" s="61" t="s">
        <v>2156</v>
      </c>
      <c r="H311" s="61" t="s">
        <v>2157</v>
      </c>
      <c r="I311" s="61" t="s">
        <v>1506</v>
      </c>
      <c r="J311" s="61"/>
      <c r="K311" s="61"/>
    </row>
    <row r="312" customFormat="false" ht="61.5" hidden="false" customHeight="true" outlineLevel="0" collapsed="false">
      <c r="A312" s="64" t="s">
        <v>1827</v>
      </c>
      <c r="B312" s="60" t="s">
        <v>572</v>
      </c>
      <c r="C312" s="61" t="s">
        <v>554</v>
      </c>
      <c r="D312" s="61" t="s">
        <v>573</v>
      </c>
      <c r="E312" s="62" t="s">
        <v>1498</v>
      </c>
      <c r="F312" s="62" t="s">
        <v>211</v>
      </c>
      <c r="G312" s="61" t="s">
        <v>2158</v>
      </c>
      <c r="H312" s="61" t="s">
        <v>2159</v>
      </c>
      <c r="I312" s="61" t="s">
        <v>1506</v>
      </c>
      <c r="J312" s="61"/>
      <c r="K312" s="61"/>
    </row>
    <row r="313" customFormat="false" ht="61.5" hidden="false" customHeight="true" outlineLevel="0" collapsed="false">
      <c r="A313" s="64" t="s">
        <v>1827</v>
      </c>
      <c r="B313" s="60" t="s">
        <v>572</v>
      </c>
      <c r="C313" s="61" t="s">
        <v>554</v>
      </c>
      <c r="D313" s="61" t="s">
        <v>573</v>
      </c>
      <c r="E313" s="62" t="s">
        <v>1511</v>
      </c>
      <c r="F313" s="62" t="s">
        <v>1512</v>
      </c>
      <c r="G313" s="61" t="s">
        <v>2160</v>
      </c>
      <c r="H313" s="61" t="s">
        <v>2161</v>
      </c>
      <c r="I313" s="61" t="s">
        <v>1506</v>
      </c>
      <c r="J313" s="61"/>
      <c r="K313" s="61"/>
    </row>
    <row r="314" customFormat="false" ht="61.5" hidden="false" customHeight="true" outlineLevel="0" collapsed="false">
      <c r="A314" s="64" t="s">
        <v>1827</v>
      </c>
      <c r="B314" s="60" t="s">
        <v>572</v>
      </c>
      <c r="C314" s="61" t="s">
        <v>554</v>
      </c>
      <c r="D314" s="61" t="s">
        <v>573</v>
      </c>
      <c r="E314" s="62" t="s">
        <v>1511</v>
      </c>
      <c r="F314" s="62" t="s">
        <v>213</v>
      </c>
      <c r="G314" s="61" t="s">
        <v>2162</v>
      </c>
      <c r="H314" s="61" t="s">
        <v>2163</v>
      </c>
      <c r="I314" s="61" t="s">
        <v>1506</v>
      </c>
      <c r="J314" s="61"/>
      <c r="K314" s="61"/>
    </row>
    <row r="315" customFormat="false" ht="61.5" hidden="false" customHeight="true" outlineLevel="0" collapsed="false">
      <c r="A315" s="64" t="s">
        <v>1827</v>
      </c>
      <c r="B315" s="60" t="s">
        <v>572</v>
      </c>
      <c r="C315" s="61" t="s">
        <v>554</v>
      </c>
      <c r="D315" s="61" t="s">
        <v>573</v>
      </c>
      <c r="E315" s="62" t="s">
        <v>1511</v>
      </c>
      <c r="F315" s="62" t="s">
        <v>214</v>
      </c>
      <c r="G315" s="61" t="s">
        <v>2164</v>
      </c>
      <c r="H315" s="61" t="s">
        <v>2165</v>
      </c>
      <c r="I315" s="61" t="s">
        <v>1506</v>
      </c>
      <c r="J315" s="61"/>
      <c r="K315" s="61"/>
    </row>
    <row r="316" customFormat="false" ht="77.25" hidden="false" customHeight="true" outlineLevel="0" collapsed="false">
      <c r="A316" s="64" t="s">
        <v>1827</v>
      </c>
      <c r="B316" s="60" t="s">
        <v>572</v>
      </c>
      <c r="C316" s="61" t="s">
        <v>554</v>
      </c>
      <c r="D316" s="61" t="s">
        <v>573</v>
      </c>
      <c r="E316" s="62" t="s">
        <v>1511</v>
      </c>
      <c r="F316" s="63" t="s">
        <v>215</v>
      </c>
      <c r="G316" s="61" t="s">
        <v>2166</v>
      </c>
      <c r="H316" s="61" t="s">
        <v>2167</v>
      </c>
      <c r="I316" s="61" t="s">
        <v>1506</v>
      </c>
      <c r="J316" s="61"/>
      <c r="K316" s="61"/>
    </row>
    <row r="317" customFormat="false" ht="93" hidden="false" customHeight="true" outlineLevel="0" collapsed="false">
      <c r="A317" s="64" t="s">
        <v>1827</v>
      </c>
      <c r="B317" s="60" t="s">
        <v>581</v>
      </c>
      <c r="C317" s="61" t="s">
        <v>582</v>
      </c>
      <c r="D317" s="61" t="s">
        <v>583</v>
      </c>
      <c r="E317" s="62" t="s">
        <v>1498</v>
      </c>
      <c r="F317" s="62" t="s">
        <v>1499</v>
      </c>
      <c r="G317" s="61" t="s">
        <v>2168</v>
      </c>
      <c r="H317" s="61" t="s">
        <v>2169</v>
      </c>
      <c r="I317" s="61" t="s">
        <v>1228</v>
      </c>
      <c r="J317" s="61" t="s">
        <v>2170</v>
      </c>
      <c r="K317" s="61" t="s">
        <v>1503</v>
      </c>
    </row>
    <row r="318" customFormat="false" ht="61.5" hidden="false" customHeight="true" outlineLevel="0" collapsed="false">
      <c r="A318" s="64" t="s">
        <v>1827</v>
      </c>
      <c r="B318" s="60" t="s">
        <v>581</v>
      </c>
      <c r="C318" s="61" t="s">
        <v>582</v>
      </c>
      <c r="D318" s="61" t="s">
        <v>583</v>
      </c>
      <c r="E318" s="62" t="s">
        <v>1498</v>
      </c>
      <c r="F318" s="62" t="s">
        <v>209</v>
      </c>
      <c r="G318" s="61" t="s">
        <v>2171</v>
      </c>
      <c r="H318" s="61" t="s">
        <v>2172</v>
      </c>
      <c r="I318" s="61" t="s">
        <v>1506</v>
      </c>
      <c r="J318" s="61"/>
      <c r="K318" s="61"/>
    </row>
    <row r="319" customFormat="false" ht="61.5" hidden="false" customHeight="true" outlineLevel="0" collapsed="false">
      <c r="A319" s="64" t="s">
        <v>1827</v>
      </c>
      <c r="B319" s="60" t="s">
        <v>581</v>
      </c>
      <c r="C319" s="61" t="s">
        <v>582</v>
      </c>
      <c r="D319" s="61" t="s">
        <v>583</v>
      </c>
      <c r="E319" s="62" t="s">
        <v>1498</v>
      </c>
      <c r="F319" s="62" t="s">
        <v>210</v>
      </c>
      <c r="G319" s="61" t="s">
        <v>2173</v>
      </c>
      <c r="H319" s="61" t="s">
        <v>2174</v>
      </c>
      <c r="I319" s="61" t="s">
        <v>1506</v>
      </c>
      <c r="J319" s="61"/>
      <c r="K319" s="61"/>
    </row>
    <row r="320" customFormat="false" ht="61.5" hidden="false" customHeight="true" outlineLevel="0" collapsed="false">
      <c r="A320" s="64" t="s">
        <v>1827</v>
      </c>
      <c r="B320" s="60" t="s">
        <v>581</v>
      </c>
      <c r="C320" s="61" t="s">
        <v>582</v>
      </c>
      <c r="D320" s="61" t="s">
        <v>583</v>
      </c>
      <c r="E320" s="62" t="s">
        <v>1498</v>
      </c>
      <c r="F320" s="62" t="s">
        <v>211</v>
      </c>
      <c r="G320" s="61" t="s">
        <v>2175</v>
      </c>
      <c r="H320" s="61" t="s">
        <v>2176</v>
      </c>
      <c r="I320" s="61" t="s">
        <v>1506</v>
      </c>
      <c r="J320" s="61"/>
      <c r="K320" s="61"/>
    </row>
    <row r="321" customFormat="false" ht="77.25" hidden="false" customHeight="true" outlineLevel="0" collapsed="false">
      <c r="A321" s="64" t="s">
        <v>1827</v>
      </c>
      <c r="B321" s="60" t="s">
        <v>581</v>
      </c>
      <c r="C321" s="61" t="s">
        <v>582</v>
      </c>
      <c r="D321" s="61" t="s">
        <v>583</v>
      </c>
      <c r="E321" s="62" t="s">
        <v>1511</v>
      </c>
      <c r="F321" s="62" t="s">
        <v>1512</v>
      </c>
      <c r="G321" s="61" t="s">
        <v>2177</v>
      </c>
      <c r="H321" s="61" t="s">
        <v>2178</v>
      </c>
      <c r="I321" s="61" t="s">
        <v>1506</v>
      </c>
      <c r="J321" s="61"/>
      <c r="K321" s="61"/>
    </row>
    <row r="322" customFormat="false" ht="61.5" hidden="false" customHeight="true" outlineLevel="0" collapsed="false">
      <c r="A322" s="64" t="s">
        <v>1827</v>
      </c>
      <c r="B322" s="60" t="s">
        <v>581</v>
      </c>
      <c r="C322" s="61" t="s">
        <v>582</v>
      </c>
      <c r="D322" s="61" t="s">
        <v>583</v>
      </c>
      <c r="E322" s="62" t="s">
        <v>1511</v>
      </c>
      <c r="F322" s="62" t="s">
        <v>213</v>
      </c>
      <c r="G322" s="61" t="s">
        <v>2179</v>
      </c>
      <c r="H322" s="61" t="s">
        <v>2180</v>
      </c>
      <c r="I322" s="61" t="s">
        <v>1506</v>
      </c>
      <c r="J322" s="61"/>
      <c r="K322" s="61"/>
    </row>
    <row r="323" customFormat="false" ht="61.5" hidden="false" customHeight="true" outlineLevel="0" collapsed="false">
      <c r="A323" s="64" t="s">
        <v>1827</v>
      </c>
      <c r="B323" s="60" t="s">
        <v>581</v>
      </c>
      <c r="C323" s="61" t="s">
        <v>582</v>
      </c>
      <c r="D323" s="61" t="s">
        <v>583</v>
      </c>
      <c r="E323" s="62" t="s">
        <v>1511</v>
      </c>
      <c r="F323" s="62" t="s">
        <v>214</v>
      </c>
      <c r="G323" s="61" t="s">
        <v>2181</v>
      </c>
      <c r="H323" s="61" t="s">
        <v>2182</v>
      </c>
      <c r="I323" s="61" t="s">
        <v>1506</v>
      </c>
      <c r="J323" s="61"/>
      <c r="K323" s="61"/>
    </row>
    <row r="324" customFormat="false" ht="93" hidden="false" customHeight="true" outlineLevel="0" collapsed="false">
      <c r="A324" s="64" t="s">
        <v>1827</v>
      </c>
      <c r="B324" s="60" t="s">
        <v>581</v>
      </c>
      <c r="C324" s="61" t="s">
        <v>582</v>
      </c>
      <c r="D324" s="61" t="s">
        <v>583</v>
      </c>
      <c r="E324" s="62" t="s">
        <v>1511</v>
      </c>
      <c r="F324" s="63" t="s">
        <v>215</v>
      </c>
      <c r="G324" s="61" t="s">
        <v>2183</v>
      </c>
      <c r="H324" s="61" t="s">
        <v>2184</v>
      </c>
      <c r="I324" s="61" t="s">
        <v>1506</v>
      </c>
      <c r="J324" s="61"/>
      <c r="K324" s="61"/>
    </row>
    <row r="325" customFormat="false" ht="77.25" hidden="false" customHeight="true" outlineLevel="0" collapsed="false">
      <c r="A325" s="64" t="s">
        <v>1827</v>
      </c>
      <c r="B325" s="60" t="s">
        <v>591</v>
      </c>
      <c r="C325" s="61" t="s">
        <v>582</v>
      </c>
      <c r="D325" s="61" t="s">
        <v>592</v>
      </c>
      <c r="E325" s="62" t="s">
        <v>1498</v>
      </c>
      <c r="F325" s="62" t="s">
        <v>1499</v>
      </c>
      <c r="G325" s="61" t="s">
        <v>2185</v>
      </c>
      <c r="H325" s="61" t="s">
        <v>2186</v>
      </c>
      <c r="I325" s="61" t="s">
        <v>1234</v>
      </c>
      <c r="J325" s="61" t="s">
        <v>2187</v>
      </c>
      <c r="K325" s="61" t="s">
        <v>1503</v>
      </c>
    </row>
    <row r="326" customFormat="false" ht="61.5" hidden="false" customHeight="true" outlineLevel="0" collapsed="false">
      <c r="A326" s="64" t="s">
        <v>1827</v>
      </c>
      <c r="B326" s="60" t="s">
        <v>591</v>
      </c>
      <c r="C326" s="61" t="s">
        <v>582</v>
      </c>
      <c r="D326" s="61" t="s">
        <v>592</v>
      </c>
      <c r="E326" s="62" t="s">
        <v>1498</v>
      </c>
      <c r="F326" s="62" t="s">
        <v>209</v>
      </c>
      <c r="G326" s="61" t="s">
        <v>2188</v>
      </c>
      <c r="H326" s="61" t="s">
        <v>2189</v>
      </c>
      <c r="I326" s="61" t="s">
        <v>1506</v>
      </c>
      <c r="J326" s="61"/>
      <c r="K326" s="61"/>
    </row>
    <row r="327" customFormat="false" ht="61.5" hidden="false" customHeight="true" outlineLevel="0" collapsed="false">
      <c r="A327" s="64" t="s">
        <v>1827</v>
      </c>
      <c r="B327" s="60" t="s">
        <v>591</v>
      </c>
      <c r="C327" s="61" t="s">
        <v>582</v>
      </c>
      <c r="D327" s="61" t="s">
        <v>592</v>
      </c>
      <c r="E327" s="62" t="s">
        <v>1498</v>
      </c>
      <c r="F327" s="62" t="s">
        <v>210</v>
      </c>
      <c r="G327" s="61" t="s">
        <v>2190</v>
      </c>
      <c r="H327" s="61" t="s">
        <v>2191</v>
      </c>
      <c r="I327" s="61" t="s">
        <v>1506</v>
      </c>
      <c r="J327" s="61"/>
      <c r="K327" s="61"/>
    </row>
    <row r="328" customFormat="false" ht="61.5" hidden="false" customHeight="true" outlineLevel="0" collapsed="false">
      <c r="A328" s="64" t="s">
        <v>1827</v>
      </c>
      <c r="B328" s="60" t="s">
        <v>591</v>
      </c>
      <c r="C328" s="61" t="s">
        <v>582</v>
      </c>
      <c r="D328" s="61" t="s">
        <v>592</v>
      </c>
      <c r="E328" s="62" t="s">
        <v>1498</v>
      </c>
      <c r="F328" s="62" t="s">
        <v>211</v>
      </c>
      <c r="G328" s="61" t="s">
        <v>2192</v>
      </c>
      <c r="H328" s="61" t="s">
        <v>2193</v>
      </c>
      <c r="I328" s="61" t="s">
        <v>1506</v>
      </c>
      <c r="J328" s="61"/>
      <c r="K328" s="61"/>
    </row>
    <row r="329" customFormat="false" ht="61.5" hidden="false" customHeight="true" outlineLevel="0" collapsed="false">
      <c r="A329" s="64" t="s">
        <v>1827</v>
      </c>
      <c r="B329" s="60" t="s">
        <v>591</v>
      </c>
      <c r="C329" s="61" t="s">
        <v>582</v>
      </c>
      <c r="D329" s="61" t="s">
        <v>592</v>
      </c>
      <c r="E329" s="62" t="s">
        <v>1511</v>
      </c>
      <c r="F329" s="62" t="s">
        <v>1512</v>
      </c>
      <c r="G329" s="61" t="s">
        <v>2194</v>
      </c>
      <c r="H329" s="61" t="s">
        <v>2195</v>
      </c>
      <c r="I329" s="61" t="s">
        <v>1506</v>
      </c>
      <c r="J329" s="61"/>
      <c r="K329" s="61"/>
    </row>
    <row r="330" customFormat="false" ht="61.5" hidden="false" customHeight="true" outlineLevel="0" collapsed="false">
      <c r="A330" s="64" t="s">
        <v>1827</v>
      </c>
      <c r="B330" s="60" t="s">
        <v>591</v>
      </c>
      <c r="C330" s="61" t="s">
        <v>582</v>
      </c>
      <c r="D330" s="61" t="s">
        <v>592</v>
      </c>
      <c r="E330" s="62" t="s">
        <v>1511</v>
      </c>
      <c r="F330" s="62" t="s">
        <v>213</v>
      </c>
      <c r="G330" s="61" t="s">
        <v>2196</v>
      </c>
      <c r="H330" s="61" t="s">
        <v>2197</v>
      </c>
      <c r="I330" s="61" t="s">
        <v>1506</v>
      </c>
      <c r="J330" s="61"/>
      <c r="K330" s="61"/>
    </row>
    <row r="331" customFormat="false" ht="61.5" hidden="false" customHeight="true" outlineLevel="0" collapsed="false">
      <c r="A331" s="64" t="s">
        <v>1827</v>
      </c>
      <c r="B331" s="60" t="s">
        <v>591</v>
      </c>
      <c r="C331" s="61" t="s">
        <v>582</v>
      </c>
      <c r="D331" s="61" t="s">
        <v>592</v>
      </c>
      <c r="E331" s="62" t="s">
        <v>1511</v>
      </c>
      <c r="F331" s="62" t="s">
        <v>214</v>
      </c>
      <c r="G331" s="61" t="s">
        <v>2198</v>
      </c>
      <c r="H331" s="61" t="s">
        <v>2199</v>
      </c>
      <c r="I331" s="61" t="s">
        <v>1506</v>
      </c>
      <c r="J331" s="61"/>
      <c r="K331" s="61"/>
    </row>
    <row r="332" customFormat="false" ht="77.25" hidden="false" customHeight="true" outlineLevel="0" collapsed="false">
      <c r="A332" s="64" t="s">
        <v>1827</v>
      </c>
      <c r="B332" s="60" t="s">
        <v>591</v>
      </c>
      <c r="C332" s="61" t="s">
        <v>582</v>
      </c>
      <c r="D332" s="61" t="s">
        <v>592</v>
      </c>
      <c r="E332" s="62" t="s">
        <v>1511</v>
      </c>
      <c r="F332" s="63" t="s">
        <v>215</v>
      </c>
      <c r="G332" s="61" t="s">
        <v>2200</v>
      </c>
      <c r="H332" s="61" t="s">
        <v>2201</v>
      </c>
      <c r="I332" s="61" t="s">
        <v>1506</v>
      </c>
      <c r="J332" s="61"/>
      <c r="K332" s="61"/>
    </row>
    <row r="333" customFormat="false" ht="93" hidden="false" customHeight="true" outlineLevel="0" collapsed="false">
      <c r="A333" s="65" t="s">
        <v>2202</v>
      </c>
      <c r="B333" s="60" t="s">
        <v>600</v>
      </c>
      <c r="C333" s="61" t="s">
        <v>601</v>
      </c>
      <c r="D333" s="61" t="s">
        <v>602</v>
      </c>
      <c r="E333" s="62" t="s">
        <v>1498</v>
      </c>
      <c r="F333" s="62" t="s">
        <v>1499</v>
      </c>
      <c r="G333" s="61" t="s">
        <v>2203</v>
      </c>
      <c r="H333" s="61" t="s">
        <v>2204</v>
      </c>
      <c r="I333" s="61" t="s">
        <v>1240</v>
      </c>
      <c r="J333" s="61" t="s">
        <v>2205</v>
      </c>
      <c r="K333" s="61" t="s">
        <v>1503</v>
      </c>
    </row>
    <row r="334" customFormat="false" ht="77.25" hidden="false" customHeight="true" outlineLevel="0" collapsed="false">
      <c r="A334" s="65" t="s">
        <v>2202</v>
      </c>
      <c r="B334" s="60" t="s">
        <v>600</v>
      </c>
      <c r="C334" s="61" t="s">
        <v>601</v>
      </c>
      <c r="D334" s="61" t="s">
        <v>602</v>
      </c>
      <c r="E334" s="62" t="s">
        <v>1498</v>
      </c>
      <c r="F334" s="62" t="s">
        <v>209</v>
      </c>
      <c r="G334" s="61" t="s">
        <v>2206</v>
      </c>
      <c r="H334" s="61" t="s">
        <v>2207</v>
      </c>
      <c r="I334" s="61" t="s">
        <v>1506</v>
      </c>
      <c r="J334" s="61"/>
      <c r="K334" s="61"/>
    </row>
    <row r="335" customFormat="false" ht="77.25" hidden="false" customHeight="true" outlineLevel="0" collapsed="false">
      <c r="A335" s="65" t="s">
        <v>2202</v>
      </c>
      <c r="B335" s="60" t="s">
        <v>600</v>
      </c>
      <c r="C335" s="61" t="s">
        <v>601</v>
      </c>
      <c r="D335" s="61" t="s">
        <v>602</v>
      </c>
      <c r="E335" s="62" t="s">
        <v>1498</v>
      </c>
      <c r="F335" s="62" t="s">
        <v>210</v>
      </c>
      <c r="G335" s="61" t="s">
        <v>2208</v>
      </c>
      <c r="H335" s="61" t="s">
        <v>2209</v>
      </c>
      <c r="I335" s="61" t="s">
        <v>1506</v>
      </c>
      <c r="J335" s="61"/>
      <c r="K335" s="61"/>
    </row>
    <row r="336" customFormat="false" ht="77.25" hidden="false" customHeight="true" outlineLevel="0" collapsed="false">
      <c r="A336" s="65" t="s">
        <v>2202</v>
      </c>
      <c r="B336" s="60" t="s">
        <v>600</v>
      </c>
      <c r="C336" s="61" t="s">
        <v>601</v>
      </c>
      <c r="D336" s="61" t="s">
        <v>602</v>
      </c>
      <c r="E336" s="62" t="s">
        <v>1498</v>
      </c>
      <c r="F336" s="62" t="s">
        <v>211</v>
      </c>
      <c r="G336" s="61" t="s">
        <v>2210</v>
      </c>
      <c r="H336" s="61" t="s">
        <v>2211</v>
      </c>
      <c r="I336" s="61" t="s">
        <v>1506</v>
      </c>
      <c r="J336" s="61"/>
      <c r="K336" s="61"/>
    </row>
    <row r="337" customFormat="false" ht="77.25" hidden="false" customHeight="true" outlineLevel="0" collapsed="false">
      <c r="A337" s="65" t="s">
        <v>2202</v>
      </c>
      <c r="B337" s="60" t="s">
        <v>600</v>
      </c>
      <c r="C337" s="61" t="s">
        <v>601</v>
      </c>
      <c r="D337" s="61" t="s">
        <v>602</v>
      </c>
      <c r="E337" s="62" t="s">
        <v>1511</v>
      </c>
      <c r="F337" s="62" t="s">
        <v>1512</v>
      </c>
      <c r="G337" s="61" t="s">
        <v>2212</v>
      </c>
      <c r="H337" s="61" t="s">
        <v>2213</v>
      </c>
      <c r="I337" s="61" t="s">
        <v>1506</v>
      </c>
      <c r="J337" s="61"/>
      <c r="K337" s="61"/>
    </row>
    <row r="338" customFormat="false" ht="61.5" hidden="false" customHeight="true" outlineLevel="0" collapsed="false">
      <c r="A338" s="65" t="s">
        <v>2202</v>
      </c>
      <c r="B338" s="60" t="s">
        <v>600</v>
      </c>
      <c r="C338" s="61" t="s">
        <v>601</v>
      </c>
      <c r="D338" s="61" t="s">
        <v>602</v>
      </c>
      <c r="E338" s="62" t="s">
        <v>1511</v>
      </c>
      <c r="F338" s="62" t="s">
        <v>213</v>
      </c>
      <c r="G338" s="61" t="s">
        <v>2214</v>
      </c>
      <c r="H338" s="61" t="s">
        <v>2215</v>
      </c>
      <c r="I338" s="61" t="s">
        <v>1506</v>
      </c>
      <c r="J338" s="61"/>
      <c r="K338" s="61"/>
    </row>
    <row r="339" customFormat="false" ht="77.25" hidden="false" customHeight="true" outlineLevel="0" collapsed="false">
      <c r="A339" s="65" t="s">
        <v>2202</v>
      </c>
      <c r="B339" s="60" t="s">
        <v>600</v>
      </c>
      <c r="C339" s="61" t="s">
        <v>601</v>
      </c>
      <c r="D339" s="61" t="s">
        <v>602</v>
      </c>
      <c r="E339" s="62" t="s">
        <v>1511</v>
      </c>
      <c r="F339" s="62" t="s">
        <v>214</v>
      </c>
      <c r="G339" s="61" t="s">
        <v>2216</v>
      </c>
      <c r="H339" s="61" t="s">
        <v>2217</v>
      </c>
      <c r="I339" s="61" t="s">
        <v>1506</v>
      </c>
      <c r="J339" s="61"/>
      <c r="K339" s="61"/>
    </row>
    <row r="340" customFormat="false" ht="77.25" hidden="false" customHeight="true" outlineLevel="0" collapsed="false">
      <c r="A340" s="65" t="s">
        <v>2202</v>
      </c>
      <c r="B340" s="60" t="s">
        <v>600</v>
      </c>
      <c r="C340" s="61" t="s">
        <v>601</v>
      </c>
      <c r="D340" s="61" t="s">
        <v>602</v>
      </c>
      <c r="E340" s="62" t="s">
        <v>1511</v>
      </c>
      <c r="F340" s="63" t="s">
        <v>215</v>
      </c>
      <c r="G340" s="61" t="s">
        <v>2218</v>
      </c>
      <c r="H340" s="61" t="s">
        <v>2219</v>
      </c>
      <c r="I340" s="61" t="s">
        <v>1506</v>
      </c>
      <c r="J340" s="61"/>
      <c r="K340" s="61"/>
    </row>
    <row r="341" customFormat="false" ht="77.25" hidden="false" customHeight="true" outlineLevel="0" collapsed="false">
      <c r="A341" s="65" t="s">
        <v>2202</v>
      </c>
      <c r="B341" s="60" t="s">
        <v>610</v>
      </c>
      <c r="C341" s="61" t="s">
        <v>601</v>
      </c>
      <c r="D341" s="61" t="s">
        <v>611</v>
      </c>
      <c r="E341" s="62" t="s">
        <v>1498</v>
      </c>
      <c r="F341" s="62" t="s">
        <v>1499</v>
      </c>
      <c r="G341" s="61" t="s">
        <v>2220</v>
      </c>
      <c r="H341" s="61" t="s">
        <v>2221</v>
      </c>
      <c r="I341" s="61" t="s">
        <v>1247</v>
      </c>
      <c r="J341" s="61" t="s">
        <v>2222</v>
      </c>
      <c r="K341" s="61" t="s">
        <v>1503</v>
      </c>
    </row>
    <row r="342" customFormat="false" ht="61.5" hidden="false" customHeight="true" outlineLevel="0" collapsed="false">
      <c r="A342" s="65" t="s">
        <v>2202</v>
      </c>
      <c r="B342" s="60" t="s">
        <v>610</v>
      </c>
      <c r="C342" s="61" t="s">
        <v>601</v>
      </c>
      <c r="D342" s="61" t="s">
        <v>611</v>
      </c>
      <c r="E342" s="62" t="s">
        <v>1498</v>
      </c>
      <c r="F342" s="62" t="s">
        <v>209</v>
      </c>
      <c r="G342" s="61" t="s">
        <v>2223</v>
      </c>
      <c r="H342" s="61" t="s">
        <v>2224</v>
      </c>
      <c r="I342" s="61" t="s">
        <v>1506</v>
      </c>
      <c r="J342" s="61"/>
      <c r="K342" s="61"/>
    </row>
    <row r="343" customFormat="false" ht="61.5" hidden="false" customHeight="true" outlineLevel="0" collapsed="false">
      <c r="A343" s="65" t="s">
        <v>2202</v>
      </c>
      <c r="B343" s="60" t="s">
        <v>610</v>
      </c>
      <c r="C343" s="61" t="s">
        <v>601</v>
      </c>
      <c r="D343" s="61" t="s">
        <v>611</v>
      </c>
      <c r="E343" s="62" t="s">
        <v>1498</v>
      </c>
      <c r="F343" s="62" t="s">
        <v>210</v>
      </c>
      <c r="G343" s="61" t="s">
        <v>2225</v>
      </c>
      <c r="H343" s="61" t="s">
        <v>2226</v>
      </c>
      <c r="I343" s="61" t="s">
        <v>1506</v>
      </c>
      <c r="J343" s="61"/>
      <c r="K343" s="61"/>
    </row>
    <row r="344" customFormat="false" ht="61.5" hidden="false" customHeight="true" outlineLevel="0" collapsed="false">
      <c r="A344" s="65" t="s">
        <v>2202</v>
      </c>
      <c r="B344" s="60" t="s">
        <v>610</v>
      </c>
      <c r="C344" s="61" t="s">
        <v>601</v>
      </c>
      <c r="D344" s="61" t="s">
        <v>611</v>
      </c>
      <c r="E344" s="62" t="s">
        <v>1498</v>
      </c>
      <c r="F344" s="62" t="s">
        <v>211</v>
      </c>
      <c r="G344" s="61" t="s">
        <v>2227</v>
      </c>
      <c r="H344" s="61" t="s">
        <v>2228</v>
      </c>
      <c r="I344" s="61" t="s">
        <v>1506</v>
      </c>
      <c r="J344" s="61"/>
      <c r="K344" s="61"/>
    </row>
    <row r="345" customFormat="false" ht="61.5" hidden="false" customHeight="true" outlineLevel="0" collapsed="false">
      <c r="A345" s="65" t="s">
        <v>2202</v>
      </c>
      <c r="B345" s="60" t="s">
        <v>610</v>
      </c>
      <c r="C345" s="61" t="s">
        <v>601</v>
      </c>
      <c r="D345" s="61" t="s">
        <v>611</v>
      </c>
      <c r="E345" s="62" t="s">
        <v>1511</v>
      </c>
      <c r="F345" s="62" t="s">
        <v>1512</v>
      </c>
      <c r="G345" s="61" t="s">
        <v>2229</v>
      </c>
      <c r="H345" s="61" t="s">
        <v>2230</v>
      </c>
      <c r="I345" s="61" t="s">
        <v>1506</v>
      </c>
      <c r="J345" s="61"/>
      <c r="K345" s="61"/>
    </row>
    <row r="346" customFormat="false" ht="61.5" hidden="false" customHeight="true" outlineLevel="0" collapsed="false">
      <c r="A346" s="65" t="s">
        <v>2202</v>
      </c>
      <c r="B346" s="60" t="s">
        <v>610</v>
      </c>
      <c r="C346" s="61" t="s">
        <v>601</v>
      </c>
      <c r="D346" s="61" t="s">
        <v>611</v>
      </c>
      <c r="E346" s="62" t="s">
        <v>1511</v>
      </c>
      <c r="F346" s="62" t="s">
        <v>213</v>
      </c>
      <c r="G346" s="61" t="s">
        <v>2231</v>
      </c>
      <c r="H346" s="61" t="s">
        <v>2232</v>
      </c>
      <c r="I346" s="61" t="s">
        <v>1506</v>
      </c>
      <c r="J346" s="61"/>
      <c r="K346" s="61"/>
    </row>
    <row r="347" customFormat="false" ht="61.5" hidden="false" customHeight="true" outlineLevel="0" collapsed="false">
      <c r="A347" s="65" t="s">
        <v>2202</v>
      </c>
      <c r="B347" s="60" t="s">
        <v>610</v>
      </c>
      <c r="C347" s="61" t="s">
        <v>601</v>
      </c>
      <c r="D347" s="61" t="s">
        <v>611</v>
      </c>
      <c r="E347" s="62" t="s">
        <v>1511</v>
      </c>
      <c r="F347" s="62" t="s">
        <v>214</v>
      </c>
      <c r="G347" s="61" t="s">
        <v>2233</v>
      </c>
      <c r="H347" s="61" t="s">
        <v>2234</v>
      </c>
      <c r="I347" s="61" t="s">
        <v>1506</v>
      </c>
      <c r="J347" s="61"/>
      <c r="K347" s="61"/>
    </row>
    <row r="348" customFormat="false" ht="77.25" hidden="false" customHeight="true" outlineLevel="0" collapsed="false">
      <c r="A348" s="65" t="s">
        <v>2202</v>
      </c>
      <c r="B348" s="60" t="s">
        <v>610</v>
      </c>
      <c r="C348" s="61" t="s">
        <v>601</v>
      </c>
      <c r="D348" s="61" t="s">
        <v>611</v>
      </c>
      <c r="E348" s="62" t="s">
        <v>1511</v>
      </c>
      <c r="F348" s="63" t="s">
        <v>215</v>
      </c>
      <c r="G348" s="61" t="s">
        <v>2235</v>
      </c>
      <c r="H348" s="61" t="s">
        <v>2236</v>
      </c>
      <c r="I348" s="61" t="s">
        <v>1506</v>
      </c>
      <c r="J348" s="61"/>
      <c r="K348" s="61"/>
    </row>
    <row r="349" customFormat="false" ht="93" hidden="false" customHeight="true" outlineLevel="0" collapsed="false">
      <c r="A349" s="65" t="s">
        <v>2202</v>
      </c>
      <c r="B349" s="60" t="s">
        <v>619</v>
      </c>
      <c r="C349" s="61" t="s">
        <v>620</v>
      </c>
      <c r="D349" s="61" t="s">
        <v>621</v>
      </c>
      <c r="E349" s="62" t="s">
        <v>1498</v>
      </c>
      <c r="F349" s="62" t="s">
        <v>1499</v>
      </c>
      <c r="G349" s="61" t="s">
        <v>2237</v>
      </c>
      <c r="H349" s="61" t="s">
        <v>2238</v>
      </c>
      <c r="I349" s="61" t="s">
        <v>1253</v>
      </c>
      <c r="J349" s="61" t="s">
        <v>2239</v>
      </c>
      <c r="K349" s="61" t="s">
        <v>1503</v>
      </c>
    </row>
    <row r="350" customFormat="false" ht="61.5" hidden="false" customHeight="true" outlineLevel="0" collapsed="false">
      <c r="A350" s="65" t="s">
        <v>2202</v>
      </c>
      <c r="B350" s="60" t="s">
        <v>619</v>
      </c>
      <c r="C350" s="61" t="s">
        <v>620</v>
      </c>
      <c r="D350" s="61" t="s">
        <v>621</v>
      </c>
      <c r="E350" s="62" t="s">
        <v>1498</v>
      </c>
      <c r="F350" s="62" t="s">
        <v>209</v>
      </c>
      <c r="G350" s="61" t="s">
        <v>2240</v>
      </c>
      <c r="H350" s="61" t="s">
        <v>2241</v>
      </c>
      <c r="I350" s="61" t="s">
        <v>1506</v>
      </c>
      <c r="J350" s="61"/>
      <c r="K350" s="61"/>
    </row>
    <row r="351" customFormat="false" ht="61.5" hidden="false" customHeight="true" outlineLevel="0" collapsed="false">
      <c r="A351" s="65" t="s">
        <v>2202</v>
      </c>
      <c r="B351" s="60" t="s">
        <v>619</v>
      </c>
      <c r="C351" s="61" t="s">
        <v>620</v>
      </c>
      <c r="D351" s="61" t="s">
        <v>621</v>
      </c>
      <c r="E351" s="62" t="s">
        <v>1498</v>
      </c>
      <c r="F351" s="62" t="s">
        <v>210</v>
      </c>
      <c r="G351" s="61" t="s">
        <v>2242</v>
      </c>
      <c r="H351" s="61" t="s">
        <v>2243</v>
      </c>
      <c r="I351" s="61" t="s">
        <v>1506</v>
      </c>
      <c r="J351" s="61"/>
      <c r="K351" s="61"/>
    </row>
    <row r="352" customFormat="false" ht="77.25" hidden="false" customHeight="true" outlineLevel="0" collapsed="false">
      <c r="A352" s="65" t="s">
        <v>2202</v>
      </c>
      <c r="B352" s="60" t="s">
        <v>619</v>
      </c>
      <c r="C352" s="61" t="s">
        <v>620</v>
      </c>
      <c r="D352" s="61" t="s">
        <v>621</v>
      </c>
      <c r="E352" s="62" t="s">
        <v>1498</v>
      </c>
      <c r="F352" s="62" t="s">
        <v>211</v>
      </c>
      <c r="G352" s="61" t="s">
        <v>2244</v>
      </c>
      <c r="H352" s="61" t="s">
        <v>2245</v>
      </c>
      <c r="I352" s="61" t="s">
        <v>1506</v>
      </c>
      <c r="J352" s="61"/>
      <c r="K352" s="61"/>
    </row>
    <row r="353" customFormat="false" ht="61.5" hidden="false" customHeight="true" outlineLevel="0" collapsed="false">
      <c r="A353" s="65" t="s">
        <v>2202</v>
      </c>
      <c r="B353" s="60" t="s">
        <v>619</v>
      </c>
      <c r="C353" s="61" t="s">
        <v>620</v>
      </c>
      <c r="D353" s="61" t="s">
        <v>621</v>
      </c>
      <c r="E353" s="62" t="s">
        <v>1511</v>
      </c>
      <c r="F353" s="62" t="s">
        <v>1512</v>
      </c>
      <c r="G353" s="61" t="s">
        <v>2246</v>
      </c>
      <c r="H353" s="61" t="s">
        <v>2247</v>
      </c>
      <c r="I353" s="61" t="s">
        <v>1506</v>
      </c>
      <c r="J353" s="61"/>
      <c r="K353" s="61"/>
    </row>
    <row r="354" customFormat="false" ht="61.5" hidden="false" customHeight="true" outlineLevel="0" collapsed="false">
      <c r="A354" s="65" t="s">
        <v>2202</v>
      </c>
      <c r="B354" s="60" t="s">
        <v>619</v>
      </c>
      <c r="C354" s="61" t="s">
        <v>620</v>
      </c>
      <c r="D354" s="61" t="s">
        <v>621</v>
      </c>
      <c r="E354" s="62" t="s">
        <v>1511</v>
      </c>
      <c r="F354" s="62" t="s">
        <v>213</v>
      </c>
      <c r="G354" s="61" t="s">
        <v>2248</v>
      </c>
      <c r="H354" s="61" t="s">
        <v>2249</v>
      </c>
      <c r="I354" s="61" t="s">
        <v>1506</v>
      </c>
      <c r="J354" s="61"/>
      <c r="K354" s="61"/>
    </row>
    <row r="355" customFormat="false" ht="61.5" hidden="false" customHeight="true" outlineLevel="0" collapsed="false">
      <c r="A355" s="65" t="s">
        <v>2202</v>
      </c>
      <c r="B355" s="60" t="s">
        <v>619</v>
      </c>
      <c r="C355" s="61" t="s">
        <v>620</v>
      </c>
      <c r="D355" s="61" t="s">
        <v>621</v>
      </c>
      <c r="E355" s="62" t="s">
        <v>1511</v>
      </c>
      <c r="F355" s="62" t="s">
        <v>214</v>
      </c>
      <c r="G355" s="61" t="s">
        <v>2250</v>
      </c>
      <c r="H355" s="61" t="s">
        <v>2251</v>
      </c>
      <c r="I355" s="61" t="s">
        <v>1506</v>
      </c>
      <c r="J355" s="61"/>
      <c r="K355" s="61"/>
    </row>
    <row r="356" customFormat="false" ht="61.5" hidden="false" customHeight="true" outlineLevel="0" collapsed="false">
      <c r="A356" s="65" t="s">
        <v>2202</v>
      </c>
      <c r="B356" s="60" t="s">
        <v>619</v>
      </c>
      <c r="C356" s="61" t="s">
        <v>620</v>
      </c>
      <c r="D356" s="61" t="s">
        <v>621</v>
      </c>
      <c r="E356" s="62" t="s">
        <v>1511</v>
      </c>
      <c r="F356" s="63" t="s">
        <v>215</v>
      </c>
      <c r="G356" s="61" t="s">
        <v>2252</v>
      </c>
      <c r="H356" s="61" t="s">
        <v>2253</v>
      </c>
      <c r="I356" s="61" t="s">
        <v>1506</v>
      </c>
      <c r="J356" s="61"/>
      <c r="K356" s="61"/>
    </row>
    <row r="357" customFormat="false" ht="93" hidden="false" customHeight="true" outlineLevel="0" collapsed="false">
      <c r="A357" s="65" t="s">
        <v>2202</v>
      </c>
      <c r="B357" s="60" t="s">
        <v>629</v>
      </c>
      <c r="C357" s="61" t="s">
        <v>620</v>
      </c>
      <c r="D357" s="61" t="s">
        <v>630</v>
      </c>
      <c r="E357" s="62" t="s">
        <v>1498</v>
      </c>
      <c r="F357" s="62" t="s">
        <v>1499</v>
      </c>
      <c r="G357" s="61" t="s">
        <v>2254</v>
      </c>
      <c r="H357" s="61" t="s">
        <v>2255</v>
      </c>
      <c r="I357" s="61" t="s">
        <v>1259</v>
      </c>
      <c r="J357" s="61" t="s">
        <v>2256</v>
      </c>
      <c r="K357" s="61" t="s">
        <v>1503</v>
      </c>
    </row>
    <row r="358" customFormat="false" ht="61.5" hidden="false" customHeight="true" outlineLevel="0" collapsed="false">
      <c r="A358" s="65" t="s">
        <v>2202</v>
      </c>
      <c r="B358" s="60" t="s">
        <v>629</v>
      </c>
      <c r="C358" s="61" t="s">
        <v>620</v>
      </c>
      <c r="D358" s="61" t="s">
        <v>630</v>
      </c>
      <c r="E358" s="62" t="s">
        <v>1498</v>
      </c>
      <c r="F358" s="62" t="s">
        <v>209</v>
      </c>
      <c r="G358" s="61" t="s">
        <v>2257</v>
      </c>
      <c r="H358" s="61" t="s">
        <v>2258</v>
      </c>
      <c r="I358" s="61" t="s">
        <v>1506</v>
      </c>
      <c r="J358" s="61"/>
      <c r="K358" s="61"/>
    </row>
    <row r="359" customFormat="false" ht="61.5" hidden="false" customHeight="true" outlineLevel="0" collapsed="false">
      <c r="A359" s="65" t="s">
        <v>2202</v>
      </c>
      <c r="B359" s="60" t="s">
        <v>629</v>
      </c>
      <c r="C359" s="61" t="s">
        <v>620</v>
      </c>
      <c r="D359" s="61" t="s">
        <v>630</v>
      </c>
      <c r="E359" s="62" t="s">
        <v>1498</v>
      </c>
      <c r="F359" s="62" t="s">
        <v>210</v>
      </c>
      <c r="G359" s="61" t="s">
        <v>2259</v>
      </c>
      <c r="H359" s="61" t="s">
        <v>2260</v>
      </c>
      <c r="I359" s="61" t="s">
        <v>1506</v>
      </c>
      <c r="J359" s="61"/>
      <c r="K359" s="61"/>
    </row>
    <row r="360" customFormat="false" ht="61.5" hidden="false" customHeight="true" outlineLevel="0" collapsed="false">
      <c r="A360" s="65" t="s">
        <v>2202</v>
      </c>
      <c r="B360" s="60" t="s">
        <v>629</v>
      </c>
      <c r="C360" s="61" t="s">
        <v>620</v>
      </c>
      <c r="D360" s="61" t="s">
        <v>630</v>
      </c>
      <c r="E360" s="62" t="s">
        <v>1498</v>
      </c>
      <c r="F360" s="62" t="s">
        <v>211</v>
      </c>
      <c r="G360" s="61" t="s">
        <v>2261</v>
      </c>
      <c r="H360" s="61" t="s">
        <v>2262</v>
      </c>
      <c r="I360" s="61" t="s">
        <v>1506</v>
      </c>
      <c r="J360" s="61"/>
      <c r="K360" s="61"/>
    </row>
    <row r="361" customFormat="false" ht="61.5" hidden="false" customHeight="true" outlineLevel="0" collapsed="false">
      <c r="A361" s="65" t="s">
        <v>2202</v>
      </c>
      <c r="B361" s="60" t="s">
        <v>629</v>
      </c>
      <c r="C361" s="61" t="s">
        <v>620</v>
      </c>
      <c r="D361" s="61" t="s">
        <v>630</v>
      </c>
      <c r="E361" s="62" t="s">
        <v>1511</v>
      </c>
      <c r="F361" s="62" t="s">
        <v>1512</v>
      </c>
      <c r="G361" s="61" t="s">
        <v>2263</v>
      </c>
      <c r="H361" s="61" t="s">
        <v>2264</v>
      </c>
      <c r="I361" s="61" t="s">
        <v>1506</v>
      </c>
      <c r="J361" s="61"/>
      <c r="K361" s="61"/>
    </row>
    <row r="362" customFormat="false" ht="61.5" hidden="false" customHeight="true" outlineLevel="0" collapsed="false">
      <c r="A362" s="65" t="s">
        <v>2202</v>
      </c>
      <c r="B362" s="60" t="s">
        <v>629</v>
      </c>
      <c r="C362" s="61" t="s">
        <v>620</v>
      </c>
      <c r="D362" s="61" t="s">
        <v>630</v>
      </c>
      <c r="E362" s="62" t="s">
        <v>1511</v>
      </c>
      <c r="F362" s="62" t="s">
        <v>213</v>
      </c>
      <c r="G362" s="61" t="s">
        <v>2265</v>
      </c>
      <c r="H362" s="61" t="s">
        <v>2266</v>
      </c>
      <c r="I362" s="61" t="s">
        <v>1506</v>
      </c>
      <c r="J362" s="61"/>
      <c r="K362" s="61"/>
    </row>
    <row r="363" customFormat="false" ht="61.5" hidden="false" customHeight="true" outlineLevel="0" collapsed="false">
      <c r="A363" s="65" t="s">
        <v>2202</v>
      </c>
      <c r="B363" s="60" t="s">
        <v>629</v>
      </c>
      <c r="C363" s="61" t="s">
        <v>620</v>
      </c>
      <c r="D363" s="61" t="s">
        <v>630</v>
      </c>
      <c r="E363" s="62" t="s">
        <v>1511</v>
      </c>
      <c r="F363" s="62" t="s">
        <v>214</v>
      </c>
      <c r="G363" s="61" t="s">
        <v>2267</v>
      </c>
      <c r="H363" s="61" t="s">
        <v>2268</v>
      </c>
      <c r="I363" s="61" t="s">
        <v>1506</v>
      </c>
      <c r="J363" s="61"/>
      <c r="K363" s="61"/>
    </row>
    <row r="364" customFormat="false" ht="77.25" hidden="false" customHeight="true" outlineLevel="0" collapsed="false">
      <c r="A364" s="65" t="s">
        <v>2202</v>
      </c>
      <c r="B364" s="60" t="s">
        <v>629</v>
      </c>
      <c r="C364" s="61" t="s">
        <v>620</v>
      </c>
      <c r="D364" s="61" t="s">
        <v>630</v>
      </c>
      <c r="E364" s="62" t="s">
        <v>1511</v>
      </c>
      <c r="F364" s="63" t="s">
        <v>215</v>
      </c>
      <c r="G364" s="61" t="s">
        <v>2269</v>
      </c>
      <c r="H364" s="61" t="s">
        <v>2270</v>
      </c>
      <c r="I364" s="61" t="s">
        <v>1506</v>
      </c>
      <c r="J364" s="61"/>
      <c r="K364" s="61"/>
    </row>
    <row r="365" customFormat="false" ht="77.25" hidden="false" customHeight="true" outlineLevel="0" collapsed="false">
      <c r="A365" s="65" t="s">
        <v>2202</v>
      </c>
      <c r="B365" s="60" t="s">
        <v>638</v>
      </c>
      <c r="C365" s="61" t="s">
        <v>620</v>
      </c>
      <c r="D365" s="61" t="s">
        <v>639</v>
      </c>
      <c r="E365" s="62" t="s">
        <v>1498</v>
      </c>
      <c r="F365" s="62" t="s">
        <v>1499</v>
      </c>
      <c r="G365" s="61" t="s">
        <v>2271</v>
      </c>
      <c r="H365" s="61" t="s">
        <v>2272</v>
      </c>
      <c r="I365" s="61" t="s">
        <v>1265</v>
      </c>
      <c r="J365" s="61" t="s">
        <v>2273</v>
      </c>
      <c r="K365" s="61" t="s">
        <v>1503</v>
      </c>
    </row>
    <row r="366" customFormat="false" ht="61.5" hidden="false" customHeight="true" outlineLevel="0" collapsed="false">
      <c r="A366" s="65" t="s">
        <v>2202</v>
      </c>
      <c r="B366" s="60" t="s">
        <v>638</v>
      </c>
      <c r="C366" s="61" t="s">
        <v>620</v>
      </c>
      <c r="D366" s="61" t="s">
        <v>639</v>
      </c>
      <c r="E366" s="62" t="s">
        <v>1498</v>
      </c>
      <c r="F366" s="62" t="s">
        <v>209</v>
      </c>
      <c r="G366" s="61" t="s">
        <v>2274</v>
      </c>
      <c r="H366" s="61" t="s">
        <v>2275</v>
      </c>
      <c r="I366" s="61" t="s">
        <v>1506</v>
      </c>
      <c r="J366" s="61"/>
      <c r="K366" s="61"/>
    </row>
    <row r="367" customFormat="false" ht="61.5" hidden="false" customHeight="true" outlineLevel="0" collapsed="false">
      <c r="A367" s="65" t="s">
        <v>2202</v>
      </c>
      <c r="B367" s="60" t="s">
        <v>638</v>
      </c>
      <c r="C367" s="61" t="s">
        <v>620</v>
      </c>
      <c r="D367" s="61" t="s">
        <v>639</v>
      </c>
      <c r="E367" s="62" t="s">
        <v>1498</v>
      </c>
      <c r="F367" s="62" t="s">
        <v>210</v>
      </c>
      <c r="G367" s="61" t="s">
        <v>2276</v>
      </c>
      <c r="H367" s="61" t="s">
        <v>2277</v>
      </c>
      <c r="I367" s="61" t="s">
        <v>1506</v>
      </c>
      <c r="J367" s="61"/>
      <c r="K367" s="61"/>
    </row>
    <row r="368" customFormat="false" ht="61.5" hidden="false" customHeight="true" outlineLevel="0" collapsed="false">
      <c r="A368" s="65" t="s">
        <v>2202</v>
      </c>
      <c r="B368" s="60" t="s">
        <v>638</v>
      </c>
      <c r="C368" s="61" t="s">
        <v>620</v>
      </c>
      <c r="D368" s="61" t="s">
        <v>639</v>
      </c>
      <c r="E368" s="62" t="s">
        <v>1498</v>
      </c>
      <c r="F368" s="62" t="s">
        <v>211</v>
      </c>
      <c r="G368" s="61" t="s">
        <v>2278</v>
      </c>
      <c r="H368" s="61" t="s">
        <v>2279</v>
      </c>
      <c r="I368" s="61" t="s">
        <v>1506</v>
      </c>
      <c r="J368" s="61"/>
      <c r="K368" s="61"/>
    </row>
    <row r="369" customFormat="false" ht="61.5" hidden="false" customHeight="true" outlineLevel="0" collapsed="false">
      <c r="A369" s="65" t="s">
        <v>2202</v>
      </c>
      <c r="B369" s="60" t="s">
        <v>638</v>
      </c>
      <c r="C369" s="61" t="s">
        <v>620</v>
      </c>
      <c r="D369" s="61" t="s">
        <v>639</v>
      </c>
      <c r="E369" s="62" t="s">
        <v>1511</v>
      </c>
      <c r="F369" s="62" t="s">
        <v>1512</v>
      </c>
      <c r="G369" s="61" t="s">
        <v>2280</v>
      </c>
      <c r="H369" s="61" t="s">
        <v>2281</v>
      </c>
      <c r="I369" s="61" t="s">
        <v>1506</v>
      </c>
      <c r="J369" s="61"/>
      <c r="K369" s="61"/>
    </row>
    <row r="370" customFormat="false" ht="61.5" hidden="false" customHeight="true" outlineLevel="0" collapsed="false">
      <c r="A370" s="65" t="s">
        <v>2202</v>
      </c>
      <c r="B370" s="60" t="s">
        <v>638</v>
      </c>
      <c r="C370" s="61" t="s">
        <v>620</v>
      </c>
      <c r="D370" s="61" t="s">
        <v>639</v>
      </c>
      <c r="E370" s="62" t="s">
        <v>1511</v>
      </c>
      <c r="F370" s="62" t="s">
        <v>213</v>
      </c>
      <c r="G370" s="61" t="s">
        <v>2282</v>
      </c>
      <c r="H370" s="61" t="s">
        <v>2283</v>
      </c>
      <c r="I370" s="61" t="s">
        <v>1506</v>
      </c>
      <c r="J370" s="61"/>
      <c r="K370" s="61"/>
    </row>
    <row r="371" customFormat="false" ht="61.5" hidden="false" customHeight="true" outlineLevel="0" collapsed="false">
      <c r="A371" s="65" t="s">
        <v>2202</v>
      </c>
      <c r="B371" s="60" t="s">
        <v>638</v>
      </c>
      <c r="C371" s="61" t="s">
        <v>620</v>
      </c>
      <c r="D371" s="61" t="s">
        <v>639</v>
      </c>
      <c r="E371" s="62" t="s">
        <v>1511</v>
      </c>
      <c r="F371" s="62" t="s">
        <v>214</v>
      </c>
      <c r="G371" s="61" t="s">
        <v>2284</v>
      </c>
      <c r="H371" s="61" t="s">
        <v>2285</v>
      </c>
      <c r="I371" s="61" t="s">
        <v>1506</v>
      </c>
      <c r="J371" s="61"/>
      <c r="K371" s="61"/>
    </row>
    <row r="372" customFormat="false" ht="61.5" hidden="false" customHeight="true" outlineLevel="0" collapsed="false">
      <c r="A372" s="65" t="s">
        <v>2202</v>
      </c>
      <c r="B372" s="60" t="s">
        <v>638</v>
      </c>
      <c r="C372" s="61" t="s">
        <v>620</v>
      </c>
      <c r="D372" s="61" t="s">
        <v>639</v>
      </c>
      <c r="E372" s="62" t="s">
        <v>1511</v>
      </c>
      <c r="F372" s="63" t="s">
        <v>215</v>
      </c>
      <c r="G372" s="61" t="s">
        <v>2286</v>
      </c>
      <c r="H372" s="61" t="s">
        <v>2287</v>
      </c>
      <c r="I372" s="61" t="s">
        <v>1506</v>
      </c>
      <c r="J372" s="61"/>
      <c r="K372" s="61"/>
    </row>
    <row r="373" customFormat="false" ht="77.25" hidden="false" customHeight="true" outlineLevel="0" collapsed="false">
      <c r="A373" s="65" t="s">
        <v>2202</v>
      </c>
      <c r="B373" s="60" t="s">
        <v>647</v>
      </c>
      <c r="C373" s="61" t="s">
        <v>620</v>
      </c>
      <c r="D373" s="61" t="s">
        <v>648</v>
      </c>
      <c r="E373" s="62" t="s">
        <v>1498</v>
      </c>
      <c r="F373" s="62" t="s">
        <v>1499</v>
      </c>
      <c r="G373" s="61" t="s">
        <v>2288</v>
      </c>
      <c r="H373" s="61" t="s">
        <v>2289</v>
      </c>
      <c r="I373" s="61" t="s">
        <v>1271</v>
      </c>
      <c r="J373" s="61" t="s">
        <v>2290</v>
      </c>
      <c r="K373" s="61" t="s">
        <v>1503</v>
      </c>
    </row>
    <row r="374" customFormat="false" ht="61.5" hidden="false" customHeight="true" outlineLevel="0" collapsed="false">
      <c r="A374" s="65" t="s">
        <v>2202</v>
      </c>
      <c r="B374" s="60" t="s">
        <v>647</v>
      </c>
      <c r="C374" s="61" t="s">
        <v>620</v>
      </c>
      <c r="D374" s="61" t="s">
        <v>648</v>
      </c>
      <c r="E374" s="62" t="s">
        <v>1498</v>
      </c>
      <c r="F374" s="62" t="s">
        <v>209</v>
      </c>
      <c r="G374" s="61" t="s">
        <v>2291</v>
      </c>
      <c r="H374" s="61" t="s">
        <v>2292</v>
      </c>
      <c r="I374" s="61" t="s">
        <v>1506</v>
      </c>
      <c r="J374" s="61"/>
      <c r="K374" s="61"/>
    </row>
    <row r="375" customFormat="false" ht="61.5" hidden="false" customHeight="true" outlineLevel="0" collapsed="false">
      <c r="A375" s="65" t="s">
        <v>2202</v>
      </c>
      <c r="B375" s="60" t="s">
        <v>647</v>
      </c>
      <c r="C375" s="61" t="s">
        <v>620</v>
      </c>
      <c r="D375" s="61" t="s">
        <v>648</v>
      </c>
      <c r="E375" s="62" t="s">
        <v>1498</v>
      </c>
      <c r="F375" s="62" t="s">
        <v>210</v>
      </c>
      <c r="G375" s="61" t="s">
        <v>2293</v>
      </c>
      <c r="H375" s="61" t="s">
        <v>2294</v>
      </c>
      <c r="I375" s="61" t="s">
        <v>1506</v>
      </c>
      <c r="J375" s="61"/>
      <c r="K375" s="61"/>
    </row>
    <row r="376" customFormat="false" ht="61.5" hidden="false" customHeight="true" outlineLevel="0" collapsed="false">
      <c r="A376" s="65" t="s">
        <v>2202</v>
      </c>
      <c r="B376" s="60" t="s">
        <v>647</v>
      </c>
      <c r="C376" s="61" t="s">
        <v>620</v>
      </c>
      <c r="D376" s="61" t="s">
        <v>648</v>
      </c>
      <c r="E376" s="62" t="s">
        <v>1498</v>
      </c>
      <c r="F376" s="62" t="s">
        <v>211</v>
      </c>
      <c r="G376" s="61" t="s">
        <v>2295</v>
      </c>
      <c r="H376" s="61" t="s">
        <v>2296</v>
      </c>
      <c r="I376" s="61" t="s">
        <v>1506</v>
      </c>
      <c r="J376" s="61"/>
      <c r="K376" s="61"/>
    </row>
    <row r="377" customFormat="false" ht="61.5" hidden="false" customHeight="true" outlineLevel="0" collapsed="false">
      <c r="A377" s="65" t="s">
        <v>2202</v>
      </c>
      <c r="B377" s="60" t="s">
        <v>647</v>
      </c>
      <c r="C377" s="61" t="s">
        <v>620</v>
      </c>
      <c r="D377" s="61" t="s">
        <v>648</v>
      </c>
      <c r="E377" s="62" t="s">
        <v>1511</v>
      </c>
      <c r="F377" s="62" t="s">
        <v>1512</v>
      </c>
      <c r="G377" s="61" t="s">
        <v>2297</v>
      </c>
      <c r="H377" s="61" t="s">
        <v>2298</v>
      </c>
      <c r="I377" s="61" t="s">
        <v>1506</v>
      </c>
      <c r="J377" s="61"/>
      <c r="K377" s="61"/>
    </row>
    <row r="378" customFormat="false" ht="61.5" hidden="false" customHeight="true" outlineLevel="0" collapsed="false">
      <c r="A378" s="65" t="s">
        <v>2202</v>
      </c>
      <c r="B378" s="60" t="s">
        <v>647</v>
      </c>
      <c r="C378" s="61" t="s">
        <v>620</v>
      </c>
      <c r="D378" s="61" t="s">
        <v>648</v>
      </c>
      <c r="E378" s="62" t="s">
        <v>1511</v>
      </c>
      <c r="F378" s="62" t="s">
        <v>213</v>
      </c>
      <c r="G378" s="61" t="s">
        <v>2299</v>
      </c>
      <c r="H378" s="61" t="s">
        <v>2300</v>
      </c>
      <c r="I378" s="61" t="s">
        <v>1506</v>
      </c>
      <c r="J378" s="61"/>
      <c r="K378" s="61"/>
    </row>
    <row r="379" customFormat="false" ht="61.5" hidden="false" customHeight="true" outlineLevel="0" collapsed="false">
      <c r="A379" s="65" t="s">
        <v>2202</v>
      </c>
      <c r="B379" s="60" t="s">
        <v>647</v>
      </c>
      <c r="C379" s="61" t="s">
        <v>620</v>
      </c>
      <c r="D379" s="61" t="s">
        <v>648</v>
      </c>
      <c r="E379" s="62" t="s">
        <v>1511</v>
      </c>
      <c r="F379" s="62" t="s">
        <v>214</v>
      </c>
      <c r="G379" s="61" t="s">
        <v>2301</v>
      </c>
      <c r="H379" s="61" t="s">
        <v>2302</v>
      </c>
      <c r="I379" s="61" t="s">
        <v>1506</v>
      </c>
      <c r="J379" s="61"/>
      <c r="K379" s="61"/>
    </row>
    <row r="380" customFormat="false" ht="77.25" hidden="false" customHeight="true" outlineLevel="0" collapsed="false">
      <c r="A380" s="65" t="s">
        <v>2202</v>
      </c>
      <c r="B380" s="60" t="s">
        <v>647</v>
      </c>
      <c r="C380" s="61" t="s">
        <v>620</v>
      </c>
      <c r="D380" s="61" t="s">
        <v>648</v>
      </c>
      <c r="E380" s="62" t="s">
        <v>1511</v>
      </c>
      <c r="F380" s="63" t="s">
        <v>215</v>
      </c>
      <c r="G380" s="61" t="s">
        <v>2303</v>
      </c>
      <c r="H380" s="61" t="s">
        <v>2304</v>
      </c>
      <c r="I380" s="61" t="s">
        <v>1506</v>
      </c>
      <c r="J380" s="61"/>
      <c r="K380" s="61"/>
    </row>
    <row r="381" customFormat="false" ht="77.25" hidden="false" customHeight="true" outlineLevel="0" collapsed="false">
      <c r="A381" s="65" t="s">
        <v>2202</v>
      </c>
      <c r="B381" s="60" t="s">
        <v>656</v>
      </c>
      <c r="C381" s="61" t="s">
        <v>620</v>
      </c>
      <c r="D381" s="61" t="s">
        <v>657</v>
      </c>
      <c r="E381" s="62" t="s">
        <v>1498</v>
      </c>
      <c r="F381" s="62" t="s">
        <v>1499</v>
      </c>
      <c r="G381" s="61" t="s">
        <v>2117</v>
      </c>
      <c r="H381" s="61" t="s">
        <v>2305</v>
      </c>
      <c r="I381" s="61" t="s">
        <v>1277</v>
      </c>
      <c r="J381" s="61" t="s">
        <v>2306</v>
      </c>
      <c r="K381" s="61" t="s">
        <v>1503</v>
      </c>
    </row>
    <row r="382" customFormat="false" ht="77.25" hidden="false" customHeight="true" outlineLevel="0" collapsed="false">
      <c r="A382" s="65" t="s">
        <v>2202</v>
      </c>
      <c r="B382" s="60" t="s">
        <v>656</v>
      </c>
      <c r="C382" s="61" t="s">
        <v>620</v>
      </c>
      <c r="D382" s="61" t="s">
        <v>657</v>
      </c>
      <c r="E382" s="62" t="s">
        <v>1498</v>
      </c>
      <c r="F382" s="62" t="s">
        <v>209</v>
      </c>
      <c r="G382" s="61" t="s">
        <v>2307</v>
      </c>
      <c r="H382" s="61" t="s">
        <v>2308</v>
      </c>
      <c r="I382" s="61" t="s">
        <v>1506</v>
      </c>
      <c r="J382" s="61"/>
      <c r="K382" s="61"/>
    </row>
    <row r="383" customFormat="false" ht="77.25" hidden="false" customHeight="true" outlineLevel="0" collapsed="false">
      <c r="A383" s="65" t="s">
        <v>2202</v>
      </c>
      <c r="B383" s="60" t="s">
        <v>656</v>
      </c>
      <c r="C383" s="61" t="s">
        <v>620</v>
      </c>
      <c r="D383" s="61" t="s">
        <v>657</v>
      </c>
      <c r="E383" s="62" t="s">
        <v>1498</v>
      </c>
      <c r="F383" s="62" t="s">
        <v>210</v>
      </c>
      <c r="G383" s="61" t="s">
        <v>2309</v>
      </c>
      <c r="H383" s="61" t="s">
        <v>2310</v>
      </c>
      <c r="I383" s="61" t="s">
        <v>1506</v>
      </c>
      <c r="J383" s="61"/>
      <c r="K383" s="61"/>
    </row>
    <row r="384" customFormat="false" ht="77.25" hidden="false" customHeight="true" outlineLevel="0" collapsed="false">
      <c r="A384" s="65" t="s">
        <v>2202</v>
      </c>
      <c r="B384" s="60" t="s">
        <v>656</v>
      </c>
      <c r="C384" s="61" t="s">
        <v>620</v>
      </c>
      <c r="D384" s="61" t="s">
        <v>657</v>
      </c>
      <c r="E384" s="62" t="s">
        <v>1498</v>
      </c>
      <c r="F384" s="62" t="s">
        <v>211</v>
      </c>
      <c r="G384" s="61" t="s">
        <v>2311</v>
      </c>
      <c r="H384" s="61" t="s">
        <v>2312</v>
      </c>
      <c r="I384" s="61" t="s">
        <v>1506</v>
      </c>
      <c r="J384" s="61"/>
      <c r="K384" s="61"/>
    </row>
    <row r="385" customFormat="false" ht="77.25" hidden="false" customHeight="true" outlineLevel="0" collapsed="false">
      <c r="A385" s="65" t="s">
        <v>2202</v>
      </c>
      <c r="B385" s="60" t="s">
        <v>656</v>
      </c>
      <c r="C385" s="61" t="s">
        <v>620</v>
      </c>
      <c r="D385" s="61" t="s">
        <v>657</v>
      </c>
      <c r="E385" s="62" t="s">
        <v>1511</v>
      </c>
      <c r="F385" s="62" t="s">
        <v>1512</v>
      </c>
      <c r="G385" s="61" t="s">
        <v>2313</v>
      </c>
      <c r="H385" s="61" t="s">
        <v>2314</v>
      </c>
      <c r="I385" s="61" t="s">
        <v>1506</v>
      </c>
      <c r="J385" s="61"/>
      <c r="K385" s="61"/>
    </row>
    <row r="386" customFormat="false" ht="77.25" hidden="false" customHeight="true" outlineLevel="0" collapsed="false">
      <c r="A386" s="65" t="s">
        <v>2202</v>
      </c>
      <c r="B386" s="60" t="s">
        <v>656</v>
      </c>
      <c r="C386" s="61" t="s">
        <v>620</v>
      </c>
      <c r="D386" s="61" t="s">
        <v>657</v>
      </c>
      <c r="E386" s="62" t="s">
        <v>1511</v>
      </c>
      <c r="F386" s="62" t="s">
        <v>213</v>
      </c>
      <c r="G386" s="61" t="s">
        <v>2315</v>
      </c>
      <c r="H386" s="61" t="s">
        <v>2316</v>
      </c>
      <c r="I386" s="61" t="s">
        <v>1506</v>
      </c>
      <c r="J386" s="61"/>
      <c r="K386" s="61"/>
    </row>
    <row r="387" customFormat="false" ht="77.25" hidden="false" customHeight="true" outlineLevel="0" collapsed="false">
      <c r="A387" s="65" t="s">
        <v>2202</v>
      </c>
      <c r="B387" s="60" t="s">
        <v>656</v>
      </c>
      <c r="C387" s="61" t="s">
        <v>620</v>
      </c>
      <c r="D387" s="61" t="s">
        <v>657</v>
      </c>
      <c r="E387" s="62" t="s">
        <v>1511</v>
      </c>
      <c r="F387" s="62" t="s">
        <v>214</v>
      </c>
      <c r="G387" s="61" t="s">
        <v>2317</v>
      </c>
      <c r="H387" s="61" t="s">
        <v>2318</v>
      </c>
      <c r="I387" s="61" t="s">
        <v>1506</v>
      </c>
      <c r="J387" s="61"/>
      <c r="K387" s="61"/>
    </row>
    <row r="388" customFormat="false" ht="108" hidden="false" customHeight="true" outlineLevel="0" collapsed="false">
      <c r="A388" s="65" t="s">
        <v>2202</v>
      </c>
      <c r="B388" s="60" t="s">
        <v>656</v>
      </c>
      <c r="C388" s="61" t="s">
        <v>620</v>
      </c>
      <c r="D388" s="61" t="s">
        <v>657</v>
      </c>
      <c r="E388" s="62" t="s">
        <v>1511</v>
      </c>
      <c r="F388" s="63" t="s">
        <v>215</v>
      </c>
      <c r="G388" s="61" t="s">
        <v>2319</v>
      </c>
      <c r="H388" s="61" t="s">
        <v>2320</v>
      </c>
      <c r="I388" s="61" t="s">
        <v>1506</v>
      </c>
      <c r="J388" s="61"/>
      <c r="K388" s="61"/>
    </row>
    <row r="389" customFormat="false" ht="77.25" hidden="false" customHeight="true" outlineLevel="0" collapsed="false">
      <c r="A389" s="65" t="s">
        <v>2202</v>
      </c>
      <c r="B389" s="60" t="s">
        <v>664</v>
      </c>
      <c r="C389" s="61" t="s">
        <v>665</v>
      </c>
      <c r="D389" s="61" t="s">
        <v>666</v>
      </c>
      <c r="E389" s="62" t="s">
        <v>1498</v>
      </c>
      <c r="F389" s="62" t="s">
        <v>1499</v>
      </c>
      <c r="G389" s="61" t="s">
        <v>2321</v>
      </c>
      <c r="H389" s="61" t="s">
        <v>2322</v>
      </c>
      <c r="I389" s="61" t="s">
        <v>1283</v>
      </c>
      <c r="J389" s="61" t="s">
        <v>2323</v>
      </c>
      <c r="K389" s="61" t="s">
        <v>1503</v>
      </c>
    </row>
    <row r="390" customFormat="false" ht="61.5" hidden="false" customHeight="true" outlineLevel="0" collapsed="false">
      <c r="A390" s="65" t="s">
        <v>2202</v>
      </c>
      <c r="B390" s="60" t="s">
        <v>664</v>
      </c>
      <c r="C390" s="61" t="s">
        <v>665</v>
      </c>
      <c r="D390" s="61" t="s">
        <v>666</v>
      </c>
      <c r="E390" s="62" t="s">
        <v>1498</v>
      </c>
      <c r="F390" s="62" t="s">
        <v>209</v>
      </c>
      <c r="G390" s="61" t="s">
        <v>2324</v>
      </c>
      <c r="H390" s="61" t="s">
        <v>2325</v>
      </c>
      <c r="I390" s="61" t="s">
        <v>1506</v>
      </c>
      <c r="J390" s="61"/>
      <c r="K390" s="61"/>
    </row>
    <row r="391" customFormat="false" ht="61.5" hidden="false" customHeight="true" outlineLevel="0" collapsed="false">
      <c r="A391" s="65" t="s">
        <v>2202</v>
      </c>
      <c r="B391" s="60" t="s">
        <v>664</v>
      </c>
      <c r="C391" s="61" t="s">
        <v>665</v>
      </c>
      <c r="D391" s="61" t="s">
        <v>666</v>
      </c>
      <c r="E391" s="62" t="s">
        <v>1498</v>
      </c>
      <c r="F391" s="62" t="s">
        <v>210</v>
      </c>
      <c r="G391" s="61" t="s">
        <v>2326</v>
      </c>
      <c r="H391" s="61" t="s">
        <v>2327</v>
      </c>
      <c r="I391" s="61" t="s">
        <v>1506</v>
      </c>
      <c r="J391" s="61"/>
      <c r="K391" s="61"/>
    </row>
    <row r="392" customFormat="false" ht="61.5" hidden="false" customHeight="true" outlineLevel="0" collapsed="false">
      <c r="A392" s="65" t="s">
        <v>2202</v>
      </c>
      <c r="B392" s="60" t="s">
        <v>664</v>
      </c>
      <c r="C392" s="61" t="s">
        <v>665</v>
      </c>
      <c r="D392" s="61" t="s">
        <v>666</v>
      </c>
      <c r="E392" s="62" t="s">
        <v>1498</v>
      </c>
      <c r="F392" s="62" t="s">
        <v>211</v>
      </c>
      <c r="G392" s="61" t="s">
        <v>2328</v>
      </c>
      <c r="H392" s="61" t="s">
        <v>2329</v>
      </c>
      <c r="I392" s="61" t="s">
        <v>1506</v>
      </c>
      <c r="J392" s="61"/>
      <c r="K392" s="61"/>
    </row>
    <row r="393" customFormat="false" ht="61.5" hidden="false" customHeight="true" outlineLevel="0" collapsed="false">
      <c r="A393" s="65" t="s">
        <v>2202</v>
      </c>
      <c r="B393" s="60" t="s">
        <v>664</v>
      </c>
      <c r="C393" s="61" t="s">
        <v>665</v>
      </c>
      <c r="D393" s="61" t="s">
        <v>666</v>
      </c>
      <c r="E393" s="62" t="s">
        <v>1511</v>
      </c>
      <c r="F393" s="62" t="s">
        <v>1512</v>
      </c>
      <c r="G393" s="61" t="s">
        <v>2330</v>
      </c>
      <c r="H393" s="61" t="s">
        <v>2331</v>
      </c>
      <c r="I393" s="61" t="s">
        <v>1506</v>
      </c>
      <c r="J393" s="61"/>
      <c r="K393" s="61"/>
    </row>
    <row r="394" customFormat="false" ht="61.5" hidden="false" customHeight="true" outlineLevel="0" collapsed="false">
      <c r="A394" s="65" t="s">
        <v>2202</v>
      </c>
      <c r="B394" s="60" t="s">
        <v>664</v>
      </c>
      <c r="C394" s="61" t="s">
        <v>665</v>
      </c>
      <c r="D394" s="61" t="s">
        <v>666</v>
      </c>
      <c r="E394" s="62" t="s">
        <v>1511</v>
      </c>
      <c r="F394" s="62" t="s">
        <v>213</v>
      </c>
      <c r="G394" s="61" t="s">
        <v>2332</v>
      </c>
      <c r="H394" s="61" t="s">
        <v>2333</v>
      </c>
      <c r="I394" s="61" t="s">
        <v>1506</v>
      </c>
      <c r="J394" s="61"/>
      <c r="K394" s="61"/>
    </row>
    <row r="395" customFormat="false" ht="61.5" hidden="false" customHeight="true" outlineLevel="0" collapsed="false">
      <c r="A395" s="65" t="s">
        <v>2202</v>
      </c>
      <c r="B395" s="60" t="s">
        <v>664</v>
      </c>
      <c r="C395" s="61" t="s">
        <v>665</v>
      </c>
      <c r="D395" s="61" t="s">
        <v>666</v>
      </c>
      <c r="E395" s="62" t="s">
        <v>1511</v>
      </c>
      <c r="F395" s="62" t="s">
        <v>214</v>
      </c>
      <c r="G395" s="61" t="s">
        <v>2334</v>
      </c>
      <c r="H395" s="61" t="s">
        <v>2335</v>
      </c>
      <c r="I395" s="61" t="s">
        <v>1506</v>
      </c>
      <c r="J395" s="61"/>
      <c r="K395" s="61"/>
    </row>
    <row r="396" customFormat="false" ht="77.25" hidden="false" customHeight="true" outlineLevel="0" collapsed="false">
      <c r="A396" s="65" t="s">
        <v>2202</v>
      </c>
      <c r="B396" s="60" t="s">
        <v>664</v>
      </c>
      <c r="C396" s="61" t="s">
        <v>665</v>
      </c>
      <c r="D396" s="61" t="s">
        <v>666</v>
      </c>
      <c r="E396" s="62" t="s">
        <v>1511</v>
      </c>
      <c r="F396" s="63" t="s">
        <v>215</v>
      </c>
      <c r="G396" s="61" t="s">
        <v>2336</v>
      </c>
      <c r="H396" s="61" t="s">
        <v>2337</v>
      </c>
      <c r="I396" s="61" t="s">
        <v>1506</v>
      </c>
      <c r="J396" s="61"/>
      <c r="K396" s="61"/>
    </row>
    <row r="397" customFormat="false" ht="77.25" hidden="false" customHeight="true" outlineLevel="0" collapsed="false">
      <c r="A397" s="65" t="s">
        <v>2202</v>
      </c>
      <c r="B397" s="60" t="s">
        <v>674</v>
      </c>
      <c r="C397" s="61" t="s">
        <v>665</v>
      </c>
      <c r="D397" s="61" t="s">
        <v>675</v>
      </c>
      <c r="E397" s="62" t="s">
        <v>1498</v>
      </c>
      <c r="F397" s="62" t="s">
        <v>1499</v>
      </c>
      <c r="G397" s="61" t="s">
        <v>2338</v>
      </c>
      <c r="H397" s="61" t="s">
        <v>2339</v>
      </c>
      <c r="I397" s="61" t="s">
        <v>1289</v>
      </c>
      <c r="J397" s="61" t="s">
        <v>2340</v>
      </c>
      <c r="K397" s="61" t="s">
        <v>1503</v>
      </c>
    </row>
    <row r="398" customFormat="false" ht="61.5" hidden="false" customHeight="true" outlineLevel="0" collapsed="false">
      <c r="A398" s="65" t="s">
        <v>2202</v>
      </c>
      <c r="B398" s="60" t="s">
        <v>674</v>
      </c>
      <c r="C398" s="61" t="s">
        <v>665</v>
      </c>
      <c r="D398" s="61" t="s">
        <v>675</v>
      </c>
      <c r="E398" s="62" t="s">
        <v>1498</v>
      </c>
      <c r="F398" s="62" t="s">
        <v>209</v>
      </c>
      <c r="G398" s="61" t="s">
        <v>2341</v>
      </c>
      <c r="H398" s="61" t="s">
        <v>2342</v>
      </c>
      <c r="I398" s="61" t="s">
        <v>1506</v>
      </c>
      <c r="J398" s="61"/>
      <c r="K398" s="61"/>
    </row>
    <row r="399" customFormat="false" ht="61.5" hidden="false" customHeight="true" outlineLevel="0" collapsed="false">
      <c r="A399" s="65" t="s">
        <v>2202</v>
      </c>
      <c r="B399" s="60" t="s">
        <v>674</v>
      </c>
      <c r="C399" s="61" t="s">
        <v>665</v>
      </c>
      <c r="D399" s="61" t="s">
        <v>675</v>
      </c>
      <c r="E399" s="62" t="s">
        <v>1498</v>
      </c>
      <c r="F399" s="62" t="s">
        <v>210</v>
      </c>
      <c r="G399" s="61" t="s">
        <v>2343</v>
      </c>
      <c r="H399" s="61" t="s">
        <v>2344</v>
      </c>
      <c r="I399" s="61" t="s">
        <v>1506</v>
      </c>
      <c r="J399" s="61"/>
      <c r="K399" s="61"/>
    </row>
    <row r="400" customFormat="false" ht="61.5" hidden="false" customHeight="true" outlineLevel="0" collapsed="false">
      <c r="A400" s="65" t="s">
        <v>2202</v>
      </c>
      <c r="B400" s="60" t="s">
        <v>674</v>
      </c>
      <c r="C400" s="61" t="s">
        <v>665</v>
      </c>
      <c r="D400" s="61" t="s">
        <v>675</v>
      </c>
      <c r="E400" s="62" t="s">
        <v>1498</v>
      </c>
      <c r="F400" s="62" t="s">
        <v>211</v>
      </c>
      <c r="G400" s="61" t="s">
        <v>2345</v>
      </c>
      <c r="H400" s="61" t="s">
        <v>2346</v>
      </c>
      <c r="I400" s="61" t="s">
        <v>1506</v>
      </c>
      <c r="J400" s="61"/>
      <c r="K400" s="61"/>
    </row>
    <row r="401" customFormat="false" ht="61.5" hidden="false" customHeight="true" outlineLevel="0" collapsed="false">
      <c r="A401" s="65" t="s">
        <v>2202</v>
      </c>
      <c r="B401" s="60" t="s">
        <v>674</v>
      </c>
      <c r="C401" s="61" t="s">
        <v>665</v>
      </c>
      <c r="D401" s="61" t="s">
        <v>675</v>
      </c>
      <c r="E401" s="62" t="s">
        <v>1511</v>
      </c>
      <c r="F401" s="62" t="s">
        <v>1512</v>
      </c>
      <c r="G401" s="61" t="s">
        <v>2347</v>
      </c>
      <c r="H401" s="61" t="s">
        <v>2348</v>
      </c>
      <c r="I401" s="61" t="s">
        <v>1506</v>
      </c>
      <c r="J401" s="61"/>
      <c r="K401" s="61"/>
    </row>
    <row r="402" customFormat="false" ht="61.5" hidden="false" customHeight="true" outlineLevel="0" collapsed="false">
      <c r="A402" s="65" t="s">
        <v>2202</v>
      </c>
      <c r="B402" s="60" t="s">
        <v>674</v>
      </c>
      <c r="C402" s="61" t="s">
        <v>665</v>
      </c>
      <c r="D402" s="61" t="s">
        <v>675</v>
      </c>
      <c r="E402" s="62" t="s">
        <v>1511</v>
      </c>
      <c r="F402" s="62" t="s">
        <v>213</v>
      </c>
      <c r="G402" s="61" t="s">
        <v>2349</v>
      </c>
      <c r="H402" s="61" t="s">
        <v>2350</v>
      </c>
      <c r="I402" s="61" t="s">
        <v>1506</v>
      </c>
      <c r="J402" s="61"/>
      <c r="K402" s="61"/>
    </row>
    <row r="403" customFormat="false" ht="61.5" hidden="false" customHeight="true" outlineLevel="0" collapsed="false">
      <c r="A403" s="65" t="s">
        <v>2202</v>
      </c>
      <c r="B403" s="60" t="s">
        <v>674</v>
      </c>
      <c r="C403" s="61" t="s">
        <v>665</v>
      </c>
      <c r="D403" s="61" t="s">
        <v>675</v>
      </c>
      <c r="E403" s="62" t="s">
        <v>1511</v>
      </c>
      <c r="F403" s="62" t="s">
        <v>214</v>
      </c>
      <c r="G403" s="61" t="s">
        <v>2351</v>
      </c>
      <c r="H403" s="61" t="s">
        <v>2352</v>
      </c>
      <c r="I403" s="61" t="s">
        <v>1506</v>
      </c>
      <c r="J403" s="61"/>
      <c r="K403" s="61"/>
    </row>
    <row r="404" customFormat="false" ht="77.25" hidden="false" customHeight="true" outlineLevel="0" collapsed="false">
      <c r="A404" s="65" t="s">
        <v>2202</v>
      </c>
      <c r="B404" s="60" t="s">
        <v>674</v>
      </c>
      <c r="C404" s="61" t="s">
        <v>665</v>
      </c>
      <c r="D404" s="61" t="s">
        <v>675</v>
      </c>
      <c r="E404" s="62" t="s">
        <v>1511</v>
      </c>
      <c r="F404" s="63" t="s">
        <v>215</v>
      </c>
      <c r="G404" s="61" t="s">
        <v>2353</v>
      </c>
      <c r="H404" s="61" t="s">
        <v>2354</v>
      </c>
      <c r="I404" s="61" t="s">
        <v>1506</v>
      </c>
      <c r="J404" s="61"/>
      <c r="K404" s="61"/>
    </row>
    <row r="405" customFormat="false" ht="77.25" hidden="false" customHeight="true" outlineLevel="0" collapsed="false">
      <c r="A405" s="65" t="s">
        <v>2202</v>
      </c>
      <c r="B405" s="60" t="s">
        <v>683</v>
      </c>
      <c r="C405" s="61" t="s">
        <v>684</v>
      </c>
      <c r="D405" s="61" t="s">
        <v>685</v>
      </c>
      <c r="E405" s="62" t="s">
        <v>1498</v>
      </c>
      <c r="F405" s="62" t="s">
        <v>1499</v>
      </c>
      <c r="G405" s="61" t="s">
        <v>2355</v>
      </c>
      <c r="H405" s="61" t="s">
        <v>2356</v>
      </c>
      <c r="I405" s="61" t="s">
        <v>1295</v>
      </c>
      <c r="J405" s="61" t="s">
        <v>2357</v>
      </c>
      <c r="K405" s="61" t="s">
        <v>1503</v>
      </c>
    </row>
    <row r="406" customFormat="false" ht="61.5" hidden="false" customHeight="true" outlineLevel="0" collapsed="false">
      <c r="A406" s="65" t="s">
        <v>2202</v>
      </c>
      <c r="B406" s="60" t="s">
        <v>683</v>
      </c>
      <c r="C406" s="61" t="s">
        <v>684</v>
      </c>
      <c r="D406" s="61" t="s">
        <v>685</v>
      </c>
      <c r="E406" s="62" t="s">
        <v>1498</v>
      </c>
      <c r="F406" s="62" t="s">
        <v>209</v>
      </c>
      <c r="G406" s="61" t="s">
        <v>2358</v>
      </c>
      <c r="H406" s="61" t="s">
        <v>2359</v>
      </c>
      <c r="I406" s="61" t="s">
        <v>1506</v>
      </c>
      <c r="J406" s="61"/>
      <c r="K406" s="61"/>
    </row>
    <row r="407" customFormat="false" ht="61.5" hidden="false" customHeight="true" outlineLevel="0" collapsed="false">
      <c r="A407" s="65" t="s">
        <v>2202</v>
      </c>
      <c r="B407" s="60" t="s">
        <v>683</v>
      </c>
      <c r="C407" s="61" t="s">
        <v>684</v>
      </c>
      <c r="D407" s="61" t="s">
        <v>685</v>
      </c>
      <c r="E407" s="62" t="s">
        <v>1498</v>
      </c>
      <c r="F407" s="62" t="s">
        <v>210</v>
      </c>
      <c r="G407" s="61" t="s">
        <v>2360</v>
      </c>
      <c r="H407" s="61" t="s">
        <v>2361</v>
      </c>
      <c r="I407" s="61" t="s">
        <v>1506</v>
      </c>
      <c r="J407" s="61"/>
      <c r="K407" s="61"/>
    </row>
    <row r="408" customFormat="false" ht="61.5" hidden="false" customHeight="true" outlineLevel="0" collapsed="false">
      <c r="A408" s="65" t="s">
        <v>2202</v>
      </c>
      <c r="B408" s="60" t="s">
        <v>683</v>
      </c>
      <c r="C408" s="61" t="s">
        <v>684</v>
      </c>
      <c r="D408" s="61" t="s">
        <v>685</v>
      </c>
      <c r="E408" s="62" t="s">
        <v>1498</v>
      </c>
      <c r="F408" s="62" t="s">
        <v>211</v>
      </c>
      <c r="G408" s="61" t="s">
        <v>2362</v>
      </c>
      <c r="H408" s="61" t="s">
        <v>2363</v>
      </c>
      <c r="I408" s="61" t="s">
        <v>1506</v>
      </c>
      <c r="J408" s="61"/>
      <c r="K408" s="61"/>
    </row>
    <row r="409" customFormat="false" ht="61.5" hidden="false" customHeight="true" outlineLevel="0" collapsed="false">
      <c r="A409" s="65" t="s">
        <v>2202</v>
      </c>
      <c r="B409" s="60" t="s">
        <v>683</v>
      </c>
      <c r="C409" s="61" t="s">
        <v>684</v>
      </c>
      <c r="D409" s="61" t="s">
        <v>685</v>
      </c>
      <c r="E409" s="62" t="s">
        <v>1511</v>
      </c>
      <c r="F409" s="62" t="s">
        <v>1512</v>
      </c>
      <c r="G409" s="61" t="s">
        <v>2364</v>
      </c>
      <c r="H409" s="61" t="s">
        <v>2365</v>
      </c>
      <c r="I409" s="61" t="s">
        <v>1506</v>
      </c>
      <c r="J409" s="61"/>
      <c r="K409" s="61"/>
    </row>
    <row r="410" customFormat="false" ht="61.5" hidden="false" customHeight="true" outlineLevel="0" collapsed="false">
      <c r="A410" s="65" t="s">
        <v>2202</v>
      </c>
      <c r="B410" s="60" t="s">
        <v>683</v>
      </c>
      <c r="C410" s="61" t="s">
        <v>684</v>
      </c>
      <c r="D410" s="61" t="s">
        <v>685</v>
      </c>
      <c r="E410" s="62" t="s">
        <v>1511</v>
      </c>
      <c r="F410" s="62" t="s">
        <v>213</v>
      </c>
      <c r="G410" s="61" t="s">
        <v>2366</v>
      </c>
      <c r="H410" s="61" t="s">
        <v>2367</v>
      </c>
      <c r="I410" s="61" t="s">
        <v>1506</v>
      </c>
      <c r="J410" s="61"/>
      <c r="K410" s="61"/>
    </row>
    <row r="411" customFormat="false" ht="61.5" hidden="false" customHeight="true" outlineLevel="0" collapsed="false">
      <c r="A411" s="65" t="s">
        <v>2202</v>
      </c>
      <c r="B411" s="60" t="s">
        <v>683</v>
      </c>
      <c r="C411" s="61" t="s">
        <v>684</v>
      </c>
      <c r="D411" s="61" t="s">
        <v>685</v>
      </c>
      <c r="E411" s="62" t="s">
        <v>1511</v>
      </c>
      <c r="F411" s="62" t="s">
        <v>214</v>
      </c>
      <c r="G411" s="61" t="s">
        <v>2368</v>
      </c>
      <c r="H411" s="61" t="s">
        <v>2369</v>
      </c>
      <c r="I411" s="61" t="s">
        <v>1506</v>
      </c>
      <c r="J411" s="61"/>
      <c r="K411" s="61"/>
    </row>
    <row r="412" customFormat="false" ht="77.25" hidden="false" customHeight="true" outlineLevel="0" collapsed="false">
      <c r="A412" s="65" t="s">
        <v>2202</v>
      </c>
      <c r="B412" s="60" t="s">
        <v>683</v>
      </c>
      <c r="C412" s="61" t="s">
        <v>684</v>
      </c>
      <c r="D412" s="61" t="s">
        <v>685</v>
      </c>
      <c r="E412" s="62" t="s">
        <v>1511</v>
      </c>
      <c r="F412" s="63" t="s">
        <v>215</v>
      </c>
      <c r="G412" s="61" t="s">
        <v>2370</v>
      </c>
      <c r="H412" s="61" t="s">
        <v>2371</v>
      </c>
      <c r="I412" s="61" t="s">
        <v>1506</v>
      </c>
      <c r="J412" s="61"/>
      <c r="K412" s="61"/>
    </row>
    <row r="413" customFormat="false" ht="77.25" hidden="false" customHeight="true" outlineLevel="0" collapsed="false">
      <c r="A413" s="65" t="s">
        <v>2202</v>
      </c>
      <c r="B413" s="60" t="s">
        <v>693</v>
      </c>
      <c r="C413" s="61" t="s">
        <v>684</v>
      </c>
      <c r="D413" s="61" t="s">
        <v>694</v>
      </c>
      <c r="E413" s="62" t="s">
        <v>1498</v>
      </c>
      <c r="F413" s="62" t="s">
        <v>1499</v>
      </c>
      <c r="G413" s="61" t="s">
        <v>2372</v>
      </c>
      <c r="H413" s="61" t="s">
        <v>2373</v>
      </c>
      <c r="I413" s="61" t="s">
        <v>1301</v>
      </c>
      <c r="J413" s="61" t="s">
        <v>2374</v>
      </c>
      <c r="K413" s="61" t="s">
        <v>1503</v>
      </c>
    </row>
    <row r="414" customFormat="false" ht="61.5" hidden="false" customHeight="true" outlineLevel="0" collapsed="false">
      <c r="A414" s="65" t="s">
        <v>2202</v>
      </c>
      <c r="B414" s="60" t="s">
        <v>693</v>
      </c>
      <c r="C414" s="61" t="s">
        <v>684</v>
      </c>
      <c r="D414" s="61" t="s">
        <v>694</v>
      </c>
      <c r="E414" s="62" t="s">
        <v>1498</v>
      </c>
      <c r="F414" s="62" t="s">
        <v>209</v>
      </c>
      <c r="G414" s="61" t="s">
        <v>2375</v>
      </c>
      <c r="H414" s="61" t="s">
        <v>2376</v>
      </c>
      <c r="I414" s="61" t="s">
        <v>1506</v>
      </c>
      <c r="J414" s="61"/>
      <c r="K414" s="61"/>
    </row>
    <row r="415" customFormat="false" ht="61.5" hidden="false" customHeight="true" outlineLevel="0" collapsed="false">
      <c r="A415" s="65" t="s">
        <v>2202</v>
      </c>
      <c r="B415" s="60" t="s">
        <v>693</v>
      </c>
      <c r="C415" s="61" t="s">
        <v>684</v>
      </c>
      <c r="D415" s="61" t="s">
        <v>694</v>
      </c>
      <c r="E415" s="62" t="s">
        <v>1498</v>
      </c>
      <c r="F415" s="62" t="s">
        <v>210</v>
      </c>
      <c r="G415" s="61" t="s">
        <v>2377</v>
      </c>
      <c r="H415" s="61" t="s">
        <v>2378</v>
      </c>
      <c r="I415" s="61" t="s">
        <v>1506</v>
      </c>
      <c r="J415" s="61"/>
      <c r="K415" s="61"/>
    </row>
    <row r="416" customFormat="false" ht="61.5" hidden="false" customHeight="true" outlineLevel="0" collapsed="false">
      <c r="A416" s="65" t="s">
        <v>2202</v>
      </c>
      <c r="B416" s="60" t="s">
        <v>693</v>
      </c>
      <c r="C416" s="61" t="s">
        <v>684</v>
      </c>
      <c r="D416" s="61" t="s">
        <v>694</v>
      </c>
      <c r="E416" s="62" t="s">
        <v>1498</v>
      </c>
      <c r="F416" s="62" t="s">
        <v>211</v>
      </c>
      <c r="G416" s="61" t="s">
        <v>2379</v>
      </c>
      <c r="H416" s="61" t="s">
        <v>2380</v>
      </c>
      <c r="I416" s="61" t="s">
        <v>1506</v>
      </c>
      <c r="J416" s="61"/>
      <c r="K416" s="61"/>
    </row>
    <row r="417" customFormat="false" ht="61.5" hidden="false" customHeight="true" outlineLevel="0" collapsed="false">
      <c r="A417" s="65" t="s">
        <v>2202</v>
      </c>
      <c r="B417" s="60" t="s">
        <v>693</v>
      </c>
      <c r="C417" s="61" t="s">
        <v>684</v>
      </c>
      <c r="D417" s="61" t="s">
        <v>694</v>
      </c>
      <c r="E417" s="62" t="s">
        <v>1511</v>
      </c>
      <c r="F417" s="62" t="s">
        <v>1512</v>
      </c>
      <c r="G417" s="61" t="s">
        <v>2381</v>
      </c>
      <c r="H417" s="61" t="s">
        <v>2382</v>
      </c>
      <c r="I417" s="61" t="s">
        <v>1506</v>
      </c>
      <c r="J417" s="61"/>
      <c r="K417" s="61"/>
    </row>
    <row r="418" customFormat="false" ht="61.5" hidden="false" customHeight="true" outlineLevel="0" collapsed="false">
      <c r="A418" s="65" t="s">
        <v>2202</v>
      </c>
      <c r="B418" s="60" t="s">
        <v>693</v>
      </c>
      <c r="C418" s="61" t="s">
        <v>684</v>
      </c>
      <c r="D418" s="61" t="s">
        <v>694</v>
      </c>
      <c r="E418" s="62" t="s">
        <v>1511</v>
      </c>
      <c r="F418" s="62" t="s">
        <v>213</v>
      </c>
      <c r="G418" s="61" t="s">
        <v>2383</v>
      </c>
      <c r="H418" s="61" t="s">
        <v>2384</v>
      </c>
      <c r="I418" s="61" t="s">
        <v>1506</v>
      </c>
      <c r="J418" s="61"/>
      <c r="K418" s="61"/>
    </row>
    <row r="419" customFormat="false" ht="61.5" hidden="false" customHeight="true" outlineLevel="0" collapsed="false">
      <c r="A419" s="65" t="s">
        <v>2202</v>
      </c>
      <c r="B419" s="60" t="s">
        <v>693</v>
      </c>
      <c r="C419" s="61" t="s">
        <v>684</v>
      </c>
      <c r="D419" s="61" t="s">
        <v>694</v>
      </c>
      <c r="E419" s="62" t="s">
        <v>1511</v>
      </c>
      <c r="F419" s="62" t="s">
        <v>214</v>
      </c>
      <c r="G419" s="61" t="s">
        <v>2385</v>
      </c>
      <c r="H419" s="61" t="s">
        <v>2386</v>
      </c>
      <c r="I419" s="61" t="s">
        <v>1506</v>
      </c>
      <c r="J419" s="61"/>
      <c r="K419" s="61"/>
    </row>
    <row r="420" customFormat="false" ht="61.5" hidden="false" customHeight="true" outlineLevel="0" collapsed="false">
      <c r="A420" s="65" t="s">
        <v>2202</v>
      </c>
      <c r="B420" s="60" t="s">
        <v>693</v>
      </c>
      <c r="C420" s="61" t="s">
        <v>684</v>
      </c>
      <c r="D420" s="61" t="s">
        <v>694</v>
      </c>
      <c r="E420" s="62" t="s">
        <v>1511</v>
      </c>
      <c r="F420" s="63" t="s">
        <v>215</v>
      </c>
      <c r="G420" s="61" t="s">
        <v>2387</v>
      </c>
      <c r="H420" s="61" t="s">
        <v>2382</v>
      </c>
      <c r="I420" s="61" t="s">
        <v>1506</v>
      </c>
      <c r="J420" s="61"/>
      <c r="K420" s="61"/>
    </row>
    <row r="421" customFormat="false" ht="77.25" hidden="false" customHeight="true" outlineLevel="0" collapsed="false">
      <c r="A421" s="65" t="s">
        <v>2202</v>
      </c>
      <c r="B421" s="60" t="s">
        <v>701</v>
      </c>
      <c r="C421" s="61" t="s">
        <v>702</v>
      </c>
      <c r="D421" s="61" t="s">
        <v>703</v>
      </c>
      <c r="E421" s="62" t="s">
        <v>1498</v>
      </c>
      <c r="F421" s="62" t="s">
        <v>1499</v>
      </c>
      <c r="G421" s="61" t="s">
        <v>2388</v>
      </c>
      <c r="H421" s="61" t="s">
        <v>2389</v>
      </c>
      <c r="I421" s="61" t="s">
        <v>1307</v>
      </c>
      <c r="J421" s="61" t="s">
        <v>2390</v>
      </c>
      <c r="K421" s="61" t="s">
        <v>1503</v>
      </c>
    </row>
    <row r="422" customFormat="false" ht="61.5" hidden="false" customHeight="true" outlineLevel="0" collapsed="false">
      <c r="A422" s="65" t="s">
        <v>2202</v>
      </c>
      <c r="B422" s="60" t="s">
        <v>701</v>
      </c>
      <c r="C422" s="61" t="s">
        <v>702</v>
      </c>
      <c r="D422" s="61" t="s">
        <v>703</v>
      </c>
      <c r="E422" s="62" t="s">
        <v>1498</v>
      </c>
      <c r="F422" s="62" t="s">
        <v>209</v>
      </c>
      <c r="G422" s="61" t="s">
        <v>2391</v>
      </c>
      <c r="H422" s="61" t="s">
        <v>2392</v>
      </c>
      <c r="I422" s="61" t="s">
        <v>1506</v>
      </c>
      <c r="J422" s="61"/>
      <c r="K422" s="61"/>
    </row>
    <row r="423" customFormat="false" ht="61.5" hidden="false" customHeight="true" outlineLevel="0" collapsed="false">
      <c r="A423" s="65" t="s">
        <v>2202</v>
      </c>
      <c r="B423" s="60" t="s">
        <v>701</v>
      </c>
      <c r="C423" s="61" t="s">
        <v>702</v>
      </c>
      <c r="D423" s="61" t="s">
        <v>703</v>
      </c>
      <c r="E423" s="62" t="s">
        <v>1498</v>
      </c>
      <c r="F423" s="62" t="s">
        <v>210</v>
      </c>
      <c r="G423" s="61" t="s">
        <v>2393</v>
      </c>
      <c r="H423" s="61" t="s">
        <v>2394</v>
      </c>
      <c r="I423" s="61" t="s">
        <v>1506</v>
      </c>
      <c r="J423" s="61"/>
      <c r="K423" s="61"/>
    </row>
    <row r="424" customFormat="false" ht="61.5" hidden="false" customHeight="true" outlineLevel="0" collapsed="false">
      <c r="A424" s="65" t="s">
        <v>2202</v>
      </c>
      <c r="B424" s="60" t="s">
        <v>701</v>
      </c>
      <c r="C424" s="61" t="s">
        <v>702</v>
      </c>
      <c r="D424" s="61" t="s">
        <v>703</v>
      </c>
      <c r="E424" s="62" t="s">
        <v>1498</v>
      </c>
      <c r="F424" s="62" t="s">
        <v>211</v>
      </c>
      <c r="G424" s="61" t="s">
        <v>2395</v>
      </c>
      <c r="H424" s="61" t="s">
        <v>2396</v>
      </c>
      <c r="I424" s="61" t="s">
        <v>1506</v>
      </c>
      <c r="J424" s="61"/>
      <c r="K424" s="61"/>
    </row>
    <row r="425" customFormat="false" ht="61.5" hidden="false" customHeight="true" outlineLevel="0" collapsed="false">
      <c r="A425" s="65" t="s">
        <v>2202</v>
      </c>
      <c r="B425" s="60" t="s">
        <v>701</v>
      </c>
      <c r="C425" s="61" t="s">
        <v>702</v>
      </c>
      <c r="D425" s="61" t="s">
        <v>703</v>
      </c>
      <c r="E425" s="62" t="s">
        <v>1511</v>
      </c>
      <c r="F425" s="62" t="s">
        <v>1512</v>
      </c>
      <c r="G425" s="61" t="s">
        <v>2397</v>
      </c>
      <c r="H425" s="61" t="s">
        <v>2398</v>
      </c>
      <c r="I425" s="61" t="s">
        <v>1506</v>
      </c>
      <c r="J425" s="61"/>
      <c r="K425" s="61"/>
    </row>
    <row r="426" customFormat="false" ht="61.5" hidden="false" customHeight="true" outlineLevel="0" collapsed="false">
      <c r="A426" s="65" t="s">
        <v>2202</v>
      </c>
      <c r="B426" s="60" t="s">
        <v>701</v>
      </c>
      <c r="C426" s="61" t="s">
        <v>702</v>
      </c>
      <c r="D426" s="61" t="s">
        <v>703</v>
      </c>
      <c r="E426" s="62" t="s">
        <v>1511</v>
      </c>
      <c r="F426" s="62" t="s">
        <v>213</v>
      </c>
      <c r="G426" s="61" t="s">
        <v>2399</v>
      </c>
      <c r="H426" s="61" t="s">
        <v>2400</v>
      </c>
      <c r="I426" s="61" t="s">
        <v>1506</v>
      </c>
      <c r="J426" s="61"/>
      <c r="K426" s="61"/>
    </row>
    <row r="427" customFormat="false" ht="61.5" hidden="false" customHeight="true" outlineLevel="0" collapsed="false">
      <c r="A427" s="65" t="s">
        <v>2202</v>
      </c>
      <c r="B427" s="60" t="s">
        <v>701</v>
      </c>
      <c r="C427" s="61" t="s">
        <v>702</v>
      </c>
      <c r="D427" s="61" t="s">
        <v>703</v>
      </c>
      <c r="E427" s="62" t="s">
        <v>1511</v>
      </c>
      <c r="F427" s="62" t="s">
        <v>214</v>
      </c>
      <c r="G427" s="61" t="s">
        <v>2401</v>
      </c>
      <c r="H427" s="61" t="s">
        <v>2402</v>
      </c>
      <c r="I427" s="61" t="s">
        <v>1506</v>
      </c>
      <c r="J427" s="61"/>
      <c r="K427" s="61"/>
    </row>
    <row r="428" customFormat="false" ht="77.25" hidden="false" customHeight="true" outlineLevel="0" collapsed="false">
      <c r="A428" s="65" t="s">
        <v>2202</v>
      </c>
      <c r="B428" s="60" t="s">
        <v>701</v>
      </c>
      <c r="C428" s="61" t="s">
        <v>702</v>
      </c>
      <c r="D428" s="61" t="s">
        <v>703</v>
      </c>
      <c r="E428" s="62" t="s">
        <v>1511</v>
      </c>
      <c r="F428" s="63" t="s">
        <v>215</v>
      </c>
      <c r="G428" s="61" t="s">
        <v>2403</v>
      </c>
      <c r="H428" s="61" t="s">
        <v>2404</v>
      </c>
      <c r="I428" s="61" t="s">
        <v>1506</v>
      </c>
      <c r="J428" s="61"/>
      <c r="K428" s="61"/>
    </row>
    <row r="429" customFormat="false" ht="77.25" hidden="false" customHeight="true" outlineLevel="0" collapsed="false">
      <c r="A429" s="65" t="s">
        <v>2202</v>
      </c>
      <c r="B429" s="60" t="s">
        <v>711</v>
      </c>
      <c r="C429" s="61" t="s">
        <v>712</v>
      </c>
      <c r="D429" s="61" t="s">
        <v>713</v>
      </c>
      <c r="E429" s="62" t="s">
        <v>1498</v>
      </c>
      <c r="F429" s="62" t="s">
        <v>1499</v>
      </c>
      <c r="G429" s="61" t="s">
        <v>2405</v>
      </c>
      <c r="H429" s="61" t="s">
        <v>2406</v>
      </c>
      <c r="I429" s="61" t="s">
        <v>1313</v>
      </c>
      <c r="J429" s="61" t="s">
        <v>2407</v>
      </c>
      <c r="K429" s="61" t="s">
        <v>1503</v>
      </c>
    </row>
    <row r="430" customFormat="false" ht="61.5" hidden="false" customHeight="true" outlineLevel="0" collapsed="false">
      <c r="A430" s="65" t="s">
        <v>2202</v>
      </c>
      <c r="B430" s="60" t="s">
        <v>711</v>
      </c>
      <c r="C430" s="61" t="s">
        <v>712</v>
      </c>
      <c r="D430" s="61" t="s">
        <v>713</v>
      </c>
      <c r="E430" s="62" t="s">
        <v>1498</v>
      </c>
      <c r="F430" s="62" t="s">
        <v>209</v>
      </c>
      <c r="G430" s="61" t="s">
        <v>2408</v>
      </c>
      <c r="H430" s="61" t="s">
        <v>2409</v>
      </c>
      <c r="I430" s="61" t="s">
        <v>1506</v>
      </c>
      <c r="J430" s="61"/>
      <c r="K430" s="61"/>
    </row>
    <row r="431" customFormat="false" ht="61.5" hidden="false" customHeight="true" outlineLevel="0" collapsed="false">
      <c r="A431" s="65" t="s">
        <v>2202</v>
      </c>
      <c r="B431" s="60" t="s">
        <v>711</v>
      </c>
      <c r="C431" s="61" t="s">
        <v>712</v>
      </c>
      <c r="D431" s="61" t="s">
        <v>713</v>
      </c>
      <c r="E431" s="62" t="s">
        <v>1498</v>
      </c>
      <c r="F431" s="62" t="s">
        <v>210</v>
      </c>
      <c r="G431" s="61" t="s">
        <v>2410</v>
      </c>
      <c r="H431" s="61" t="s">
        <v>2411</v>
      </c>
      <c r="I431" s="61" t="s">
        <v>1506</v>
      </c>
      <c r="J431" s="61"/>
      <c r="K431" s="61"/>
    </row>
    <row r="432" customFormat="false" ht="61.5" hidden="false" customHeight="true" outlineLevel="0" collapsed="false">
      <c r="A432" s="65" t="s">
        <v>2202</v>
      </c>
      <c r="B432" s="60" t="s">
        <v>711</v>
      </c>
      <c r="C432" s="61" t="s">
        <v>712</v>
      </c>
      <c r="D432" s="61" t="s">
        <v>713</v>
      </c>
      <c r="E432" s="62" t="s">
        <v>1498</v>
      </c>
      <c r="F432" s="62" t="s">
        <v>211</v>
      </c>
      <c r="G432" s="61" t="s">
        <v>2412</v>
      </c>
      <c r="H432" s="61" t="s">
        <v>2413</v>
      </c>
      <c r="I432" s="61" t="s">
        <v>1506</v>
      </c>
      <c r="J432" s="61"/>
      <c r="K432" s="61"/>
    </row>
    <row r="433" customFormat="false" ht="61.5" hidden="false" customHeight="true" outlineLevel="0" collapsed="false">
      <c r="A433" s="65" t="s">
        <v>2202</v>
      </c>
      <c r="B433" s="60" t="s">
        <v>711</v>
      </c>
      <c r="C433" s="61" t="s">
        <v>712</v>
      </c>
      <c r="D433" s="61" t="s">
        <v>713</v>
      </c>
      <c r="E433" s="62" t="s">
        <v>1511</v>
      </c>
      <c r="F433" s="62" t="s">
        <v>1512</v>
      </c>
      <c r="G433" s="61" t="s">
        <v>2414</v>
      </c>
      <c r="H433" s="61" t="s">
        <v>2415</v>
      </c>
      <c r="I433" s="61" t="s">
        <v>1506</v>
      </c>
      <c r="J433" s="61"/>
      <c r="K433" s="61"/>
    </row>
    <row r="434" customFormat="false" ht="61.5" hidden="false" customHeight="true" outlineLevel="0" collapsed="false">
      <c r="A434" s="65" t="s">
        <v>2202</v>
      </c>
      <c r="B434" s="60" t="s">
        <v>711</v>
      </c>
      <c r="C434" s="61" t="s">
        <v>712</v>
      </c>
      <c r="D434" s="61" t="s">
        <v>713</v>
      </c>
      <c r="E434" s="62" t="s">
        <v>1511</v>
      </c>
      <c r="F434" s="62" t="s">
        <v>213</v>
      </c>
      <c r="G434" s="61" t="s">
        <v>2416</v>
      </c>
      <c r="H434" s="61" t="s">
        <v>2417</v>
      </c>
      <c r="I434" s="61" t="s">
        <v>1506</v>
      </c>
      <c r="J434" s="61"/>
      <c r="K434" s="61"/>
    </row>
    <row r="435" customFormat="false" ht="77.25" hidden="false" customHeight="true" outlineLevel="0" collapsed="false">
      <c r="A435" s="65" t="s">
        <v>2202</v>
      </c>
      <c r="B435" s="60" t="s">
        <v>711</v>
      </c>
      <c r="C435" s="61" t="s">
        <v>712</v>
      </c>
      <c r="D435" s="61" t="s">
        <v>713</v>
      </c>
      <c r="E435" s="62" t="s">
        <v>1511</v>
      </c>
      <c r="F435" s="62" t="s">
        <v>214</v>
      </c>
      <c r="G435" s="61" t="s">
        <v>2418</v>
      </c>
      <c r="H435" s="61" t="s">
        <v>2419</v>
      </c>
      <c r="I435" s="61" t="s">
        <v>1506</v>
      </c>
      <c r="J435" s="61"/>
      <c r="K435" s="61"/>
    </row>
    <row r="436" customFormat="false" ht="108" hidden="false" customHeight="true" outlineLevel="0" collapsed="false">
      <c r="A436" s="65" t="s">
        <v>2202</v>
      </c>
      <c r="B436" s="60" t="s">
        <v>711</v>
      </c>
      <c r="C436" s="61" t="s">
        <v>712</v>
      </c>
      <c r="D436" s="61" t="s">
        <v>713</v>
      </c>
      <c r="E436" s="62" t="s">
        <v>1511</v>
      </c>
      <c r="F436" s="63" t="s">
        <v>215</v>
      </c>
      <c r="G436" s="61" t="s">
        <v>2420</v>
      </c>
      <c r="H436" s="61" t="s">
        <v>2421</v>
      </c>
      <c r="I436" s="61" t="s">
        <v>1506</v>
      </c>
      <c r="J436" s="61"/>
      <c r="K436" s="61"/>
    </row>
    <row r="437" customFormat="false" ht="77.25" hidden="false" customHeight="true" outlineLevel="0" collapsed="false">
      <c r="A437" s="65" t="s">
        <v>2202</v>
      </c>
      <c r="B437" s="60" t="s">
        <v>721</v>
      </c>
      <c r="C437" s="61" t="s">
        <v>722</v>
      </c>
      <c r="D437" s="61" t="s">
        <v>723</v>
      </c>
      <c r="E437" s="62" t="s">
        <v>1498</v>
      </c>
      <c r="F437" s="62" t="s">
        <v>1499</v>
      </c>
      <c r="G437" s="61" t="s">
        <v>2422</v>
      </c>
      <c r="H437" s="61" t="s">
        <v>2423</v>
      </c>
      <c r="I437" s="61" t="s">
        <v>1319</v>
      </c>
      <c r="J437" s="61" t="s">
        <v>2424</v>
      </c>
      <c r="K437" s="61" t="s">
        <v>1503</v>
      </c>
    </row>
    <row r="438" customFormat="false" ht="61.5" hidden="false" customHeight="true" outlineLevel="0" collapsed="false">
      <c r="A438" s="65" t="s">
        <v>2202</v>
      </c>
      <c r="B438" s="60" t="s">
        <v>721</v>
      </c>
      <c r="C438" s="61" t="s">
        <v>722</v>
      </c>
      <c r="D438" s="61" t="s">
        <v>723</v>
      </c>
      <c r="E438" s="62" t="s">
        <v>1498</v>
      </c>
      <c r="F438" s="62" t="s">
        <v>209</v>
      </c>
      <c r="G438" s="61" t="s">
        <v>2425</v>
      </c>
      <c r="H438" s="61" t="s">
        <v>2426</v>
      </c>
      <c r="I438" s="61" t="s">
        <v>1506</v>
      </c>
      <c r="J438" s="61"/>
      <c r="K438" s="61"/>
    </row>
    <row r="439" customFormat="false" ht="61.5" hidden="false" customHeight="true" outlineLevel="0" collapsed="false">
      <c r="A439" s="65" t="s">
        <v>2202</v>
      </c>
      <c r="B439" s="60" t="s">
        <v>721</v>
      </c>
      <c r="C439" s="61" t="s">
        <v>722</v>
      </c>
      <c r="D439" s="61" t="s">
        <v>723</v>
      </c>
      <c r="E439" s="62" t="s">
        <v>1498</v>
      </c>
      <c r="F439" s="62" t="s">
        <v>210</v>
      </c>
      <c r="G439" s="61" t="s">
        <v>2427</v>
      </c>
      <c r="H439" s="61" t="s">
        <v>2428</v>
      </c>
      <c r="I439" s="61" t="s">
        <v>1506</v>
      </c>
      <c r="J439" s="61"/>
      <c r="K439" s="61"/>
    </row>
    <row r="440" customFormat="false" ht="61.5" hidden="false" customHeight="true" outlineLevel="0" collapsed="false">
      <c r="A440" s="65" t="s">
        <v>2202</v>
      </c>
      <c r="B440" s="60" t="s">
        <v>721</v>
      </c>
      <c r="C440" s="61" t="s">
        <v>722</v>
      </c>
      <c r="D440" s="61" t="s">
        <v>723</v>
      </c>
      <c r="E440" s="62" t="s">
        <v>1498</v>
      </c>
      <c r="F440" s="62" t="s">
        <v>211</v>
      </c>
      <c r="G440" s="61" t="s">
        <v>2429</v>
      </c>
      <c r="H440" s="61" t="s">
        <v>2430</v>
      </c>
      <c r="I440" s="61" t="s">
        <v>1506</v>
      </c>
      <c r="J440" s="61"/>
      <c r="K440" s="61"/>
    </row>
    <row r="441" customFormat="false" ht="61.5" hidden="false" customHeight="true" outlineLevel="0" collapsed="false">
      <c r="A441" s="65" t="s">
        <v>2202</v>
      </c>
      <c r="B441" s="60" t="s">
        <v>721</v>
      </c>
      <c r="C441" s="61" t="s">
        <v>722</v>
      </c>
      <c r="D441" s="61" t="s">
        <v>723</v>
      </c>
      <c r="E441" s="62" t="s">
        <v>1511</v>
      </c>
      <c r="F441" s="62" t="s">
        <v>1512</v>
      </c>
      <c r="G441" s="61" t="s">
        <v>2431</v>
      </c>
      <c r="H441" s="61" t="s">
        <v>2432</v>
      </c>
      <c r="I441" s="61" t="s">
        <v>1506</v>
      </c>
      <c r="J441" s="61"/>
      <c r="K441" s="61"/>
    </row>
    <row r="442" customFormat="false" ht="61.5" hidden="false" customHeight="true" outlineLevel="0" collapsed="false">
      <c r="A442" s="65" t="s">
        <v>2202</v>
      </c>
      <c r="B442" s="60" t="s">
        <v>721</v>
      </c>
      <c r="C442" s="61" t="s">
        <v>722</v>
      </c>
      <c r="D442" s="61" t="s">
        <v>723</v>
      </c>
      <c r="E442" s="62" t="s">
        <v>1511</v>
      </c>
      <c r="F442" s="62" t="s">
        <v>213</v>
      </c>
      <c r="G442" s="61" t="s">
        <v>2433</v>
      </c>
      <c r="H442" s="61" t="s">
        <v>2434</v>
      </c>
      <c r="I442" s="61" t="s">
        <v>1506</v>
      </c>
      <c r="J442" s="61"/>
      <c r="K442" s="61"/>
    </row>
    <row r="443" customFormat="false" ht="61.5" hidden="false" customHeight="true" outlineLevel="0" collapsed="false">
      <c r="A443" s="65" t="s">
        <v>2202</v>
      </c>
      <c r="B443" s="60" t="s">
        <v>721</v>
      </c>
      <c r="C443" s="61" t="s">
        <v>722</v>
      </c>
      <c r="D443" s="61" t="s">
        <v>723</v>
      </c>
      <c r="E443" s="62" t="s">
        <v>1511</v>
      </c>
      <c r="F443" s="62" t="s">
        <v>214</v>
      </c>
      <c r="G443" s="61" t="s">
        <v>2435</v>
      </c>
      <c r="H443" s="61" t="s">
        <v>2436</v>
      </c>
      <c r="I443" s="61" t="s">
        <v>1506</v>
      </c>
      <c r="J443" s="61"/>
      <c r="K443" s="61"/>
    </row>
    <row r="444" customFormat="false" ht="61.5" hidden="false" customHeight="true" outlineLevel="0" collapsed="false">
      <c r="A444" s="65" t="s">
        <v>2202</v>
      </c>
      <c r="B444" s="60" t="s">
        <v>721</v>
      </c>
      <c r="C444" s="61" t="s">
        <v>722</v>
      </c>
      <c r="D444" s="61" t="s">
        <v>723</v>
      </c>
      <c r="E444" s="62" t="s">
        <v>1511</v>
      </c>
      <c r="F444" s="63" t="s">
        <v>215</v>
      </c>
      <c r="G444" s="61" t="s">
        <v>2437</v>
      </c>
      <c r="H444" s="61" t="s">
        <v>2432</v>
      </c>
      <c r="I444" s="61" t="s">
        <v>1506</v>
      </c>
      <c r="J444" s="61"/>
      <c r="K444" s="61"/>
    </row>
    <row r="445" customFormat="false" ht="77.25" hidden="false" customHeight="true" outlineLevel="0" collapsed="false">
      <c r="A445" s="66" t="s">
        <v>2438</v>
      </c>
      <c r="B445" s="60" t="s">
        <v>730</v>
      </c>
      <c r="C445" s="61" t="s">
        <v>731</v>
      </c>
      <c r="D445" s="61" t="s">
        <v>732</v>
      </c>
      <c r="E445" s="62" t="s">
        <v>1498</v>
      </c>
      <c r="F445" s="62" t="s">
        <v>1499</v>
      </c>
      <c r="G445" s="61" t="s">
        <v>2439</v>
      </c>
      <c r="H445" s="61" t="s">
        <v>2440</v>
      </c>
      <c r="I445" s="61" t="s">
        <v>1325</v>
      </c>
      <c r="J445" s="61" t="s">
        <v>2441</v>
      </c>
      <c r="K445" s="61" t="s">
        <v>1503</v>
      </c>
    </row>
    <row r="446" customFormat="false" ht="77.25" hidden="false" customHeight="true" outlineLevel="0" collapsed="false">
      <c r="A446" s="66" t="s">
        <v>2438</v>
      </c>
      <c r="B446" s="60" t="s">
        <v>730</v>
      </c>
      <c r="C446" s="61" t="s">
        <v>731</v>
      </c>
      <c r="D446" s="61" t="s">
        <v>732</v>
      </c>
      <c r="E446" s="62" t="s">
        <v>1498</v>
      </c>
      <c r="F446" s="62" t="s">
        <v>209</v>
      </c>
      <c r="G446" s="61" t="s">
        <v>2442</v>
      </c>
      <c r="H446" s="61" t="s">
        <v>2443</v>
      </c>
      <c r="I446" s="61" t="s">
        <v>1506</v>
      </c>
      <c r="J446" s="61"/>
      <c r="K446" s="61"/>
    </row>
    <row r="447" customFormat="false" ht="77.25" hidden="false" customHeight="true" outlineLevel="0" collapsed="false">
      <c r="A447" s="66" t="s">
        <v>2438</v>
      </c>
      <c r="B447" s="60" t="s">
        <v>730</v>
      </c>
      <c r="C447" s="61" t="s">
        <v>731</v>
      </c>
      <c r="D447" s="61" t="s">
        <v>732</v>
      </c>
      <c r="E447" s="62" t="s">
        <v>1498</v>
      </c>
      <c r="F447" s="62" t="s">
        <v>210</v>
      </c>
      <c r="G447" s="61" t="s">
        <v>2444</v>
      </c>
      <c r="H447" s="61" t="s">
        <v>2445</v>
      </c>
      <c r="I447" s="61" t="s">
        <v>1506</v>
      </c>
      <c r="J447" s="61"/>
      <c r="K447" s="61"/>
    </row>
    <row r="448" customFormat="false" ht="77.25" hidden="false" customHeight="true" outlineLevel="0" collapsed="false">
      <c r="A448" s="66" t="s">
        <v>2438</v>
      </c>
      <c r="B448" s="60" t="s">
        <v>730</v>
      </c>
      <c r="C448" s="61" t="s">
        <v>731</v>
      </c>
      <c r="D448" s="61" t="s">
        <v>732</v>
      </c>
      <c r="E448" s="62" t="s">
        <v>1498</v>
      </c>
      <c r="F448" s="62" t="s">
        <v>211</v>
      </c>
      <c r="G448" s="61" t="s">
        <v>2446</v>
      </c>
      <c r="H448" s="61" t="s">
        <v>2447</v>
      </c>
      <c r="I448" s="61" t="s">
        <v>1506</v>
      </c>
      <c r="J448" s="61"/>
      <c r="K448" s="61"/>
    </row>
    <row r="449" customFormat="false" ht="77.25" hidden="false" customHeight="true" outlineLevel="0" collapsed="false">
      <c r="A449" s="66" t="s">
        <v>2438</v>
      </c>
      <c r="B449" s="60" t="s">
        <v>730</v>
      </c>
      <c r="C449" s="61" t="s">
        <v>731</v>
      </c>
      <c r="D449" s="61" t="s">
        <v>732</v>
      </c>
      <c r="E449" s="62" t="s">
        <v>1511</v>
      </c>
      <c r="F449" s="62" t="s">
        <v>1512</v>
      </c>
      <c r="G449" s="61" t="s">
        <v>2448</v>
      </c>
      <c r="H449" s="61" t="s">
        <v>2449</v>
      </c>
      <c r="I449" s="61" t="s">
        <v>1506</v>
      </c>
      <c r="J449" s="61"/>
      <c r="K449" s="61"/>
    </row>
    <row r="450" customFormat="false" ht="77.25" hidden="false" customHeight="true" outlineLevel="0" collapsed="false">
      <c r="A450" s="66" t="s">
        <v>2438</v>
      </c>
      <c r="B450" s="60" t="s">
        <v>730</v>
      </c>
      <c r="C450" s="61" t="s">
        <v>731</v>
      </c>
      <c r="D450" s="61" t="s">
        <v>732</v>
      </c>
      <c r="E450" s="62" t="s">
        <v>1511</v>
      </c>
      <c r="F450" s="62" t="s">
        <v>213</v>
      </c>
      <c r="G450" s="61" t="s">
        <v>2450</v>
      </c>
      <c r="H450" s="61" t="s">
        <v>2451</v>
      </c>
      <c r="I450" s="61" t="s">
        <v>1506</v>
      </c>
      <c r="J450" s="61"/>
      <c r="K450" s="61"/>
    </row>
    <row r="451" customFormat="false" ht="77.25" hidden="false" customHeight="true" outlineLevel="0" collapsed="false">
      <c r="A451" s="66" t="s">
        <v>2438</v>
      </c>
      <c r="B451" s="60" t="s">
        <v>730</v>
      </c>
      <c r="C451" s="61" t="s">
        <v>731</v>
      </c>
      <c r="D451" s="61" t="s">
        <v>732</v>
      </c>
      <c r="E451" s="62" t="s">
        <v>1511</v>
      </c>
      <c r="F451" s="62" t="s">
        <v>214</v>
      </c>
      <c r="G451" s="61" t="s">
        <v>2452</v>
      </c>
      <c r="H451" s="61" t="s">
        <v>2453</v>
      </c>
      <c r="I451" s="61" t="s">
        <v>1506</v>
      </c>
      <c r="J451" s="61"/>
      <c r="K451" s="61"/>
    </row>
    <row r="452" customFormat="false" ht="93" hidden="false" customHeight="true" outlineLevel="0" collapsed="false">
      <c r="A452" s="66" t="s">
        <v>2438</v>
      </c>
      <c r="B452" s="60" t="s">
        <v>730</v>
      </c>
      <c r="C452" s="61" t="s">
        <v>731</v>
      </c>
      <c r="D452" s="61" t="s">
        <v>732</v>
      </c>
      <c r="E452" s="62" t="s">
        <v>1511</v>
      </c>
      <c r="F452" s="63" t="s">
        <v>215</v>
      </c>
      <c r="G452" s="61" t="s">
        <v>2454</v>
      </c>
      <c r="H452" s="61" t="s">
        <v>2455</v>
      </c>
      <c r="I452" s="61" t="s">
        <v>1506</v>
      </c>
      <c r="J452" s="61"/>
      <c r="K452" s="61"/>
    </row>
    <row r="453" customFormat="false" ht="77.25" hidden="false" customHeight="true" outlineLevel="0" collapsed="false">
      <c r="A453" s="66" t="s">
        <v>2438</v>
      </c>
      <c r="B453" s="60" t="s">
        <v>740</v>
      </c>
      <c r="C453" s="61" t="s">
        <v>731</v>
      </c>
      <c r="D453" s="61" t="s">
        <v>741</v>
      </c>
      <c r="E453" s="62" t="s">
        <v>1498</v>
      </c>
      <c r="F453" s="62" t="s">
        <v>1499</v>
      </c>
      <c r="G453" s="61" t="s">
        <v>2456</v>
      </c>
      <c r="H453" s="61" t="s">
        <v>2457</v>
      </c>
      <c r="I453" s="61" t="s">
        <v>1332</v>
      </c>
      <c r="J453" s="61" t="s">
        <v>2458</v>
      </c>
      <c r="K453" s="61" t="s">
        <v>1503</v>
      </c>
    </row>
    <row r="454" customFormat="false" ht="77.25" hidden="false" customHeight="true" outlineLevel="0" collapsed="false">
      <c r="A454" s="66" t="s">
        <v>2438</v>
      </c>
      <c r="B454" s="60" t="s">
        <v>740</v>
      </c>
      <c r="C454" s="61" t="s">
        <v>731</v>
      </c>
      <c r="D454" s="61" t="s">
        <v>741</v>
      </c>
      <c r="E454" s="62" t="s">
        <v>1498</v>
      </c>
      <c r="F454" s="62" t="s">
        <v>209</v>
      </c>
      <c r="G454" s="61" t="s">
        <v>2459</v>
      </c>
      <c r="H454" s="61" t="s">
        <v>2460</v>
      </c>
      <c r="I454" s="61" t="s">
        <v>1506</v>
      </c>
      <c r="J454" s="61"/>
      <c r="K454" s="61"/>
    </row>
    <row r="455" customFormat="false" ht="77.25" hidden="false" customHeight="true" outlineLevel="0" collapsed="false">
      <c r="A455" s="66" t="s">
        <v>2438</v>
      </c>
      <c r="B455" s="60" t="s">
        <v>740</v>
      </c>
      <c r="C455" s="61" t="s">
        <v>731</v>
      </c>
      <c r="D455" s="61" t="s">
        <v>741</v>
      </c>
      <c r="E455" s="62" t="s">
        <v>1498</v>
      </c>
      <c r="F455" s="62" t="s">
        <v>210</v>
      </c>
      <c r="G455" s="61" t="s">
        <v>2461</v>
      </c>
      <c r="H455" s="61" t="s">
        <v>2462</v>
      </c>
      <c r="I455" s="61" t="s">
        <v>1506</v>
      </c>
      <c r="J455" s="61"/>
      <c r="K455" s="61"/>
    </row>
    <row r="456" customFormat="false" ht="77.25" hidden="false" customHeight="true" outlineLevel="0" collapsed="false">
      <c r="A456" s="66" t="s">
        <v>2438</v>
      </c>
      <c r="B456" s="60" t="s">
        <v>740</v>
      </c>
      <c r="C456" s="61" t="s">
        <v>731</v>
      </c>
      <c r="D456" s="61" t="s">
        <v>741</v>
      </c>
      <c r="E456" s="62" t="s">
        <v>1498</v>
      </c>
      <c r="F456" s="62" t="s">
        <v>211</v>
      </c>
      <c r="G456" s="61" t="s">
        <v>2463</v>
      </c>
      <c r="H456" s="61" t="s">
        <v>2464</v>
      </c>
      <c r="I456" s="61" t="s">
        <v>1506</v>
      </c>
      <c r="J456" s="61"/>
      <c r="K456" s="61"/>
    </row>
    <row r="457" customFormat="false" ht="77.25" hidden="false" customHeight="true" outlineLevel="0" collapsed="false">
      <c r="A457" s="66" t="s">
        <v>2438</v>
      </c>
      <c r="B457" s="60" t="s">
        <v>740</v>
      </c>
      <c r="C457" s="61" t="s">
        <v>731</v>
      </c>
      <c r="D457" s="61" t="s">
        <v>741</v>
      </c>
      <c r="E457" s="62" t="s">
        <v>1511</v>
      </c>
      <c r="F457" s="62" t="s">
        <v>1512</v>
      </c>
      <c r="G457" s="61" t="s">
        <v>2465</v>
      </c>
      <c r="H457" s="61" t="s">
        <v>2466</v>
      </c>
      <c r="I457" s="61" t="s">
        <v>1506</v>
      </c>
      <c r="J457" s="61"/>
      <c r="K457" s="61"/>
    </row>
    <row r="458" customFormat="false" ht="77.25" hidden="false" customHeight="true" outlineLevel="0" collapsed="false">
      <c r="A458" s="66" t="s">
        <v>2438</v>
      </c>
      <c r="B458" s="60" t="s">
        <v>740</v>
      </c>
      <c r="C458" s="61" t="s">
        <v>731</v>
      </c>
      <c r="D458" s="61" t="s">
        <v>741</v>
      </c>
      <c r="E458" s="62" t="s">
        <v>1511</v>
      </c>
      <c r="F458" s="62" t="s">
        <v>213</v>
      </c>
      <c r="G458" s="61" t="s">
        <v>2467</v>
      </c>
      <c r="H458" s="61" t="s">
        <v>2468</v>
      </c>
      <c r="I458" s="61" t="s">
        <v>1506</v>
      </c>
      <c r="J458" s="61"/>
      <c r="K458" s="61"/>
    </row>
    <row r="459" customFormat="false" ht="77.25" hidden="false" customHeight="true" outlineLevel="0" collapsed="false">
      <c r="A459" s="66" t="s">
        <v>2438</v>
      </c>
      <c r="B459" s="60" t="s">
        <v>740</v>
      </c>
      <c r="C459" s="61" t="s">
        <v>731</v>
      </c>
      <c r="D459" s="61" t="s">
        <v>741</v>
      </c>
      <c r="E459" s="62" t="s">
        <v>1511</v>
      </c>
      <c r="F459" s="62" t="s">
        <v>214</v>
      </c>
      <c r="G459" s="61" t="s">
        <v>2469</v>
      </c>
      <c r="H459" s="61" t="s">
        <v>2470</v>
      </c>
      <c r="I459" s="61" t="s">
        <v>1506</v>
      </c>
      <c r="J459" s="61"/>
      <c r="K459" s="61"/>
    </row>
    <row r="460" customFormat="false" ht="77.25" hidden="false" customHeight="true" outlineLevel="0" collapsed="false">
      <c r="A460" s="66" t="s">
        <v>2438</v>
      </c>
      <c r="B460" s="60" t="s">
        <v>740</v>
      </c>
      <c r="C460" s="61" t="s">
        <v>731</v>
      </c>
      <c r="D460" s="61" t="s">
        <v>741</v>
      </c>
      <c r="E460" s="62" t="s">
        <v>1511</v>
      </c>
      <c r="F460" s="63" t="s">
        <v>215</v>
      </c>
      <c r="G460" s="61" t="s">
        <v>2471</v>
      </c>
      <c r="H460" s="61" t="s">
        <v>2472</v>
      </c>
      <c r="I460" s="61" t="s">
        <v>1506</v>
      </c>
      <c r="J460" s="61"/>
      <c r="K460" s="61"/>
    </row>
    <row r="461" customFormat="false" ht="77.25" hidden="false" customHeight="true" outlineLevel="0" collapsed="false">
      <c r="A461" s="66" t="s">
        <v>2438</v>
      </c>
      <c r="B461" s="60" t="s">
        <v>749</v>
      </c>
      <c r="C461" s="61" t="s">
        <v>750</v>
      </c>
      <c r="D461" s="61" t="s">
        <v>751</v>
      </c>
      <c r="E461" s="62" t="s">
        <v>1498</v>
      </c>
      <c r="F461" s="62" t="s">
        <v>1499</v>
      </c>
      <c r="G461" s="61" t="s">
        <v>2473</v>
      </c>
      <c r="H461" s="61" t="s">
        <v>2474</v>
      </c>
      <c r="I461" s="61" t="s">
        <v>1338</v>
      </c>
      <c r="J461" s="61" t="s">
        <v>2475</v>
      </c>
      <c r="K461" s="61" t="s">
        <v>1503</v>
      </c>
    </row>
    <row r="462" customFormat="false" ht="77.25" hidden="false" customHeight="true" outlineLevel="0" collapsed="false">
      <c r="A462" s="66" t="s">
        <v>2438</v>
      </c>
      <c r="B462" s="60" t="s">
        <v>749</v>
      </c>
      <c r="C462" s="61" t="s">
        <v>750</v>
      </c>
      <c r="D462" s="61" t="s">
        <v>751</v>
      </c>
      <c r="E462" s="62" t="s">
        <v>1498</v>
      </c>
      <c r="F462" s="62" t="s">
        <v>209</v>
      </c>
      <c r="G462" s="61" t="s">
        <v>2476</v>
      </c>
      <c r="H462" s="61" t="s">
        <v>2477</v>
      </c>
      <c r="I462" s="61" t="s">
        <v>1506</v>
      </c>
      <c r="J462" s="61"/>
      <c r="K462" s="61"/>
    </row>
    <row r="463" customFormat="false" ht="77.25" hidden="false" customHeight="true" outlineLevel="0" collapsed="false">
      <c r="A463" s="66" t="s">
        <v>2438</v>
      </c>
      <c r="B463" s="60" t="s">
        <v>749</v>
      </c>
      <c r="C463" s="61" t="s">
        <v>750</v>
      </c>
      <c r="D463" s="61" t="s">
        <v>751</v>
      </c>
      <c r="E463" s="62" t="s">
        <v>1498</v>
      </c>
      <c r="F463" s="62" t="s">
        <v>210</v>
      </c>
      <c r="G463" s="61" t="s">
        <v>2478</v>
      </c>
      <c r="H463" s="61" t="s">
        <v>2479</v>
      </c>
      <c r="I463" s="61" t="s">
        <v>1506</v>
      </c>
      <c r="J463" s="61"/>
      <c r="K463" s="61"/>
    </row>
    <row r="464" customFormat="false" ht="77.25" hidden="false" customHeight="true" outlineLevel="0" collapsed="false">
      <c r="A464" s="66" t="s">
        <v>2438</v>
      </c>
      <c r="B464" s="60" t="s">
        <v>749</v>
      </c>
      <c r="C464" s="61" t="s">
        <v>750</v>
      </c>
      <c r="D464" s="61" t="s">
        <v>751</v>
      </c>
      <c r="E464" s="62" t="s">
        <v>1498</v>
      </c>
      <c r="F464" s="62" t="s">
        <v>211</v>
      </c>
      <c r="G464" s="61" t="s">
        <v>2480</v>
      </c>
      <c r="H464" s="61" t="s">
        <v>2481</v>
      </c>
      <c r="I464" s="61" t="s">
        <v>1506</v>
      </c>
      <c r="J464" s="61"/>
      <c r="K464" s="61"/>
    </row>
    <row r="465" customFormat="false" ht="77.25" hidden="false" customHeight="true" outlineLevel="0" collapsed="false">
      <c r="A465" s="66" t="s">
        <v>2438</v>
      </c>
      <c r="B465" s="60" t="s">
        <v>749</v>
      </c>
      <c r="C465" s="61" t="s">
        <v>750</v>
      </c>
      <c r="D465" s="61" t="s">
        <v>751</v>
      </c>
      <c r="E465" s="62" t="s">
        <v>1511</v>
      </c>
      <c r="F465" s="62" t="s">
        <v>1512</v>
      </c>
      <c r="G465" s="61" t="s">
        <v>2482</v>
      </c>
      <c r="H465" s="61" t="s">
        <v>2483</v>
      </c>
      <c r="I465" s="61" t="s">
        <v>1506</v>
      </c>
      <c r="J465" s="61"/>
      <c r="K465" s="61"/>
    </row>
    <row r="466" customFormat="false" ht="77.25" hidden="false" customHeight="true" outlineLevel="0" collapsed="false">
      <c r="A466" s="66" t="s">
        <v>2438</v>
      </c>
      <c r="B466" s="60" t="s">
        <v>749</v>
      </c>
      <c r="C466" s="61" t="s">
        <v>750</v>
      </c>
      <c r="D466" s="61" t="s">
        <v>751</v>
      </c>
      <c r="E466" s="62" t="s">
        <v>1511</v>
      </c>
      <c r="F466" s="62" t="s">
        <v>213</v>
      </c>
      <c r="G466" s="61" t="s">
        <v>2484</v>
      </c>
      <c r="H466" s="61" t="s">
        <v>2485</v>
      </c>
      <c r="I466" s="61" t="s">
        <v>1506</v>
      </c>
      <c r="J466" s="61"/>
      <c r="K466" s="61"/>
    </row>
    <row r="467" customFormat="false" ht="77.25" hidden="false" customHeight="true" outlineLevel="0" collapsed="false">
      <c r="A467" s="66" t="s">
        <v>2438</v>
      </c>
      <c r="B467" s="60" t="s">
        <v>749</v>
      </c>
      <c r="C467" s="61" t="s">
        <v>750</v>
      </c>
      <c r="D467" s="61" t="s">
        <v>751</v>
      </c>
      <c r="E467" s="62" t="s">
        <v>1511</v>
      </c>
      <c r="F467" s="62" t="s">
        <v>214</v>
      </c>
      <c r="G467" s="61" t="s">
        <v>2486</v>
      </c>
      <c r="H467" s="61" t="s">
        <v>2487</v>
      </c>
      <c r="I467" s="61" t="s">
        <v>1506</v>
      </c>
      <c r="J467" s="61"/>
      <c r="K467" s="61"/>
    </row>
    <row r="468" customFormat="false" ht="108" hidden="false" customHeight="true" outlineLevel="0" collapsed="false">
      <c r="A468" s="66" t="s">
        <v>2438</v>
      </c>
      <c r="B468" s="60" t="s">
        <v>749</v>
      </c>
      <c r="C468" s="61" t="s">
        <v>750</v>
      </c>
      <c r="D468" s="61" t="s">
        <v>751</v>
      </c>
      <c r="E468" s="62" t="s">
        <v>1511</v>
      </c>
      <c r="F468" s="63" t="s">
        <v>215</v>
      </c>
      <c r="G468" s="61" t="s">
        <v>2488</v>
      </c>
      <c r="H468" s="61" t="s">
        <v>2489</v>
      </c>
      <c r="I468" s="61" t="s">
        <v>1506</v>
      </c>
      <c r="J468" s="61"/>
      <c r="K468" s="61"/>
    </row>
    <row r="469" customFormat="false" ht="93" hidden="false" customHeight="true" outlineLevel="0" collapsed="false">
      <c r="A469" s="66" t="s">
        <v>2438</v>
      </c>
      <c r="B469" s="60" t="s">
        <v>759</v>
      </c>
      <c r="C469" s="61" t="s">
        <v>750</v>
      </c>
      <c r="D469" s="61" t="s">
        <v>760</v>
      </c>
      <c r="E469" s="62" t="s">
        <v>1498</v>
      </c>
      <c r="F469" s="62" t="s">
        <v>1499</v>
      </c>
      <c r="G469" s="61" t="s">
        <v>2490</v>
      </c>
      <c r="H469" s="61" t="s">
        <v>2491</v>
      </c>
      <c r="I469" s="61" t="s">
        <v>1344</v>
      </c>
      <c r="J469" s="61" t="s">
        <v>2492</v>
      </c>
      <c r="K469" s="61" t="s">
        <v>1503</v>
      </c>
    </row>
    <row r="470" customFormat="false" ht="77.25" hidden="false" customHeight="true" outlineLevel="0" collapsed="false">
      <c r="A470" s="66" t="s">
        <v>2438</v>
      </c>
      <c r="B470" s="60" t="s">
        <v>759</v>
      </c>
      <c r="C470" s="61" t="s">
        <v>750</v>
      </c>
      <c r="D470" s="61" t="s">
        <v>760</v>
      </c>
      <c r="E470" s="62" t="s">
        <v>1498</v>
      </c>
      <c r="F470" s="62" t="s">
        <v>209</v>
      </c>
      <c r="G470" s="61" t="s">
        <v>2493</v>
      </c>
      <c r="H470" s="61" t="s">
        <v>2494</v>
      </c>
      <c r="I470" s="61" t="s">
        <v>1506</v>
      </c>
      <c r="J470" s="61"/>
      <c r="K470" s="61"/>
    </row>
    <row r="471" customFormat="false" ht="77.25" hidden="false" customHeight="true" outlineLevel="0" collapsed="false">
      <c r="A471" s="66" t="s">
        <v>2438</v>
      </c>
      <c r="B471" s="60" t="s">
        <v>759</v>
      </c>
      <c r="C471" s="61" t="s">
        <v>750</v>
      </c>
      <c r="D471" s="61" t="s">
        <v>760</v>
      </c>
      <c r="E471" s="62" t="s">
        <v>1498</v>
      </c>
      <c r="F471" s="62" t="s">
        <v>210</v>
      </c>
      <c r="G471" s="61" t="s">
        <v>2495</v>
      </c>
      <c r="H471" s="61" t="s">
        <v>2496</v>
      </c>
      <c r="I471" s="61" t="s">
        <v>1506</v>
      </c>
      <c r="J471" s="61"/>
      <c r="K471" s="61"/>
    </row>
    <row r="472" customFormat="false" ht="77.25" hidden="false" customHeight="true" outlineLevel="0" collapsed="false">
      <c r="A472" s="66" t="s">
        <v>2438</v>
      </c>
      <c r="B472" s="60" t="s">
        <v>759</v>
      </c>
      <c r="C472" s="61" t="s">
        <v>750</v>
      </c>
      <c r="D472" s="61" t="s">
        <v>760</v>
      </c>
      <c r="E472" s="62" t="s">
        <v>1498</v>
      </c>
      <c r="F472" s="62" t="s">
        <v>211</v>
      </c>
      <c r="G472" s="61" t="s">
        <v>2497</v>
      </c>
      <c r="H472" s="61" t="s">
        <v>2498</v>
      </c>
      <c r="I472" s="61" t="s">
        <v>1506</v>
      </c>
      <c r="J472" s="61"/>
      <c r="K472" s="61"/>
    </row>
    <row r="473" customFormat="false" ht="77.25" hidden="false" customHeight="true" outlineLevel="0" collapsed="false">
      <c r="A473" s="66" t="s">
        <v>2438</v>
      </c>
      <c r="B473" s="60" t="s">
        <v>759</v>
      </c>
      <c r="C473" s="61" t="s">
        <v>750</v>
      </c>
      <c r="D473" s="61" t="s">
        <v>760</v>
      </c>
      <c r="E473" s="62" t="s">
        <v>1511</v>
      </c>
      <c r="F473" s="62" t="s">
        <v>1512</v>
      </c>
      <c r="G473" s="61" t="s">
        <v>2499</v>
      </c>
      <c r="H473" s="61" t="s">
        <v>2500</v>
      </c>
      <c r="I473" s="61" t="s">
        <v>1506</v>
      </c>
      <c r="J473" s="61"/>
      <c r="K473" s="61"/>
    </row>
    <row r="474" customFormat="false" ht="77.25" hidden="false" customHeight="true" outlineLevel="0" collapsed="false">
      <c r="A474" s="66" t="s">
        <v>2438</v>
      </c>
      <c r="B474" s="60" t="s">
        <v>759</v>
      </c>
      <c r="C474" s="61" t="s">
        <v>750</v>
      </c>
      <c r="D474" s="61" t="s">
        <v>760</v>
      </c>
      <c r="E474" s="62" t="s">
        <v>1511</v>
      </c>
      <c r="F474" s="62" t="s">
        <v>213</v>
      </c>
      <c r="G474" s="61" t="s">
        <v>2501</v>
      </c>
      <c r="H474" s="61" t="s">
        <v>2502</v>
      </c>
      <c r="I474" s="61" t="s">
        <v>1506</v>
      </c>
      <c r="J474" s="61"/>
      <c r="K474" s="61"/>
    </row>
    <row r="475" customFormat="false" ht="77.25" hidden="false" customHeight="true" outlineLevel="0" collapsed="false">
      <c r="A475" s="66" t="s">
        <v>2438</v>
      </c>
      <c r="B475" s="60" t="s">
        <v>759</v>
      </c>
      <c r="C475" s="61" t="s">
        <v>750</v>
      </c>
      <c r="D475" s="61" t="s">
        <v>760</v>
      </c>
      <c r="E475" s="62" t="s">
        <v>1511</v>
      </c>
      <c r="F475" s="62" t="s">
        <v>214</v>
      </c>
      <c r="G475" s="61" t="s">
        <v>2503</v>
      </c>
      <c r="H475" s="61" t="s">
        <v>2504</v>
      </c>
      <c r="I475" s="61" t="s">
        <v>1506</v>
      </c>
      <c r="J475" s="61"/>
      <c r="K475" s="61"/>
    </row>
    <row r="476" customFormat="false" ht="77.25" hidden="false" customHeight="true" outlineLevel="0" collapsed="false">
      <c r="A476" s="66" t="s">
        <v>2438</v>
      </c>
      <c r="B476" s="60" t="s">
        <v>759</v>
      </c>
      <c r="C476" s="61" t="s">
        <v>750</v>
      </c>
      <c r="D476" s="61" t="s">
        <v>760</v>
      </c>
      <c r="E476" s="62" t="s">
        <v>1511</v>
      </c>
      <c r="F476" s="63" t="s">
        <v>215</v>
      </c>
      <c r="G476" s="61" t="s">
        <v>2505</v>
      </c>
      <c r="H476" s="61" t="s">
        <v>2506</v>
      </c>
      <c r="I476" s="61" t="s">
        <v>1506</v>
      </c>
      <c r="J476" s="61"/>
      <c r="K476" s="61"/>
    </row>
    <row r="477" customFormat="false" ht="93" hidden="false" customHeight="true" outlineLevel="0" collapsed="false">
      <c r="A477" s="66" t="s">
        <v>2438</v>
      </c>
      <c r="B477" s="60" t="s">
        <v>768</v>
      </c>
      <c r="C477" s="61" t="s">
        <v>769</v>
      </c>
      <c r="D477" s="61" t="s">
        <v>770</v>
      </c>
      <c r="E477" s="62" t="s">
        <v>1498</v>
      </c>
      <c r="F477" s="62" t="s">
        <v>1499</v>
      </c>
      <c r="G477" s="61" t="s">
        <v>2507</v>
      </c>
      <c r="H477" s="61" t="s">
        <v>2508</v>
      </c>
      <c r="I477" s="61" t="s">
        <v>1350</v>
      </c>
      <c r="J477" s="61" t="s">
        <v>2509</v>
      </c>
      <c r="K477" s="61" t="s">
        <v>1503</v>
      </c>
    </row>
    <row r="478" customFormat="false" ht="61.5" hidden="false" customHeight="true" outlineLevel="0" collapsed="false">
      <c r="A478" s="66" t="s">
        <v>2438</v>
      </c>
      <c r="B478" s="60" t="s">
        <v>768</v>
      </c>
      <c r="C478" s="61" t="s">
        <v>769</v>
      </c>
      <c r="D478" s="61" t="s">
        <v>770</v>
      </c>
      <c r="E478" s="62" t="s">
        <v>1498</v>
      </c>
      <c r="F478" s="62" t="s">
        <v>209</v>
      </c>
      <c r="G478" s="61" t="s">
        <v>2510</v>
      </c>
      <c r="H478" s="61" t="s">
        <v>2511</v>
      </c>
      <c r="I478" s="61" t="s">
        <v>1506</v>
      </c>
      <c r="J478" s="61"/>
      <c r="K478" s="61"/>
    </row>
    <row r="479" customFormat="false" ht="61.5" hidden="false" customHeight="true" outlineLevel="0" collapsed="false">
      <c r="A479" s="66" t="s">
        <v>2438</v>
      </c>
      <c r="B479" s="60" t="s">
        <v>768</v>
      </c>
      <c r="C479" s="61" t="s">
        <v>769</v>
      </c>
      <c r="D479" s="61" t="s">
        <v>770</v>
      </c>
      <c r="E479" s="62" t="s">
        <v>1498</v>
      </c>
      <c r="F479" s="62" t="s">
        <v>210</v>
      </c>
      <c r="G479" s="61" t="s">
        <v>2512</v>
      </c>
      <c r="H479" s="61" t="s">
        <v>2513</v>
      </c>
      <c r="I479" s="61" t="s">
        <v>1506</v>
      </c>
      <c r="J479" s="61"/>
      <c r="K479" s="61"/>
    </row>
    <row r="480" customFormat="false" ht="61.5" hidden="false" customHeight="true" outlineLevel="0" collapsed="false">
      <c r="A480" s="66" t="s">
        <v>2438</v>
      </c>
      <c r="B480" s="60" t="s">
        <v>768</v>
      </c>
      <c r="C480" s="61" t="s">
        <v>769</v>
      </c>
      <c r="D480" s="61" t="s">
        <v>770</v>
      </c>
      <c r="E480" s="62" t="s">
        <v>1498</v>
      </c>
      <c r="F480" s="62" t="s">
        <v>211</v>
      </c>
      <c r="G480" s="61" t="s">
        <v>2514</v>
      </c>
      <c r="H480" s="61" t="s">
        <v>2515</v>
      </c>
      <c r="I480" s="61" t="s">
        <v>1506</v>
      </c>
      <c r="J480" s="61"/>
      <c r="K480" s="61"/>
    </row>
    <row r="481" customFormat="false" ht="61.5" hidden="false" customHeight="true" outlineLevel="0" collapsed="false">
      <c r="A481" s="66" t="s">
        <v>2438</v>
      </c>
      <c r="B481" s="60" t="s">
        <v>768</v>
      </c>
      <c r="C481" s="61" t="s">
        <v>769</v>
      </c>
      <c r="D481" s="61" t="s">
        <v>770</v>
      </c>
      <c r="E481" s="62" t="s">
        <v>1511</v>
      </c>
      <c r="F481" s="62" t="s">
        <v>1512</v>
      </c>
      <c r="G481" s="61" t="s">
        <v>2516</v>
      </c>
      <c r="H481" s="61" t="s">
        <v>2517</v>
      </c>
      <c r="I481" s="61" t="s">
        <v>1506</v>
      </c>
      <c r="J481" s="61"/>
      <c r="K481" s="61"/>
    </row>
    <row r="482" customFormat="false" ht="61.5" hidden="false" customHeight="true" outlineLevel="0" collapsed="false">
      <c r="A482" s="66" t="s">
        <v>2438</v>
      </c>
      <c r="B482" s="60" t="s">
        <v>768</v>
      </c>
      <c r="C482" s="61" t="s">
        <v>769</v>
      </c>
      <c r="D482" s="61" t="s">
        <v>770</v>
      </c>
      <c r="E482" s="62" t="s">
        <v>1511</v>
      </c>
      <c r="F482" s="62" t="s">
        <v>213</v>
      </c>
      <c r="G482" s="61" t="s">
        <v>2518</v>
      </c>
      <c r="H482" s="61" t="s">
        <v>2519</v>
      </c>
      <c r="I482" s="61" t="s">
        <v>1506</v>
      </c>
      <c r="J482" s="61"/>
      <c r="K482" s="61"/>
    </row>
    <row r="483" customFormat="false" ht="61.5" hidden="false" customHeight="true" outlineLevel="0" collapsed="false">
      <c r="A483" s="66" t="s">
        <v>2438</v>
      </c>
      <c r="B483" s="60" t="s">
        <v>768</v>
      </c>
      <c r="C483" s="61" t="s">
        <v>769</v>
      </c>
      <c r="D483" s="61" t="s">
        <v>770</v>
      </c>
      <c r="E483" s="62" t="s">
        <v>1511</v>
      </c>
      <c r="F483" s="62" t="s">
        <v>214</v>
      </c>
      <c r="G483" s="61" t="s">
        <v>2520</v>
      </c>
      <c r="H483" s="61" t="s">
        <v>2521</v>
      </c>
      <c r="I483" s="61" t="s">
        <v>1506</v>
      </c>
      <c r="J483" s="61"/>
      <c r="K483" s="61"/>
    </row>
    <row r="484" customFormat="false" ht="77.25" hidden="false" customHeight="true" outlineLevel="0" collapsed="false">
      <c r="A484" s="66" t="s">
        <v>2438</v>
      </c>
      <c r="B484" s="60" t="s">
        <v>768</v>
      </c>
      <c r="C484" s="61" t="s">
        <v>769</v>
      </c>
      <c r="D484" s="61" t="s">
        <v>770</v>
      </c>
      <c r="E484" s="62" t="s">
        <v>1511</v>
      </c>
      <c r="F484" s="63" t="s">
        <v>215</v>
      </c>
      <c r="G484" s="61" t="s">
        <v>2522</v>
      </c>
      <c r="H484" s="61" t="s">
        <v>2523</v>
      </c>
      <c r="I484" s="61" t="s">
        <v>1506</v>
      </c>
      <c r="J484" s="61"/>
      <c r="K484" s="61"/>
    </row>
    <row r="485" customFormat="false" ht="77.25" hidden="false" customHeight="true" outlineLevel="0" collapsed="false">
      <c r="A485" s="66" t="s">
        <v>2438</v>
      </c>
      <c r="B485" s="60" t="s">
        <v>778</v>
      </c>
      <c r="C485" s="61" t="s">
        <v>769</v>
      </c>
      <c r="D485" s="61" t="s">
        <v>779</v>
      </c>
      <c r="E485" s="62" t="s">
        <v>1498</v>
      </c>
      <c r="F485" s="62" t="s">
        <v>1499</v>
      </c>
      <c r="G485" s="61" t="s">
        <v>2524</v>
      </c>
      <c r="H485" s="61" t="s">
        <v>2525</v>
      </c>
      <c r="I485" s="61" t="s">
        <v>1356</v>
      </c>
      <c r="J485" s="61" t="s">
        <v>2526</v>
      </c>
      <c r="K485" s="61" t="s">
        <v>1503</v>
      </c>
    </row>
    <row r="486" customFormat="false" ht="77.25" hidden="false" customHeight="true" outlineLevel="0" collapsed="false">
      <c r="A486" s="66" t="s">
        <v>2438</v>
      </c>
      <c r="B486" s="60" t="s">
        <v>778</v>
      </c>
      <c r="C486" s="61" t="s">
        <v>769</v>
      </c>
      <c r="D486" s="61" t="s">
        <v>779</v>
      </c>
      <c r="E486" s="62" t="s">
        <v>1498</v>
      </c>
      <c r="F486" s="62" t="s">
        <v>209</v>
      </c>
      <c r="G486" s="61" t="s">
        <v>2527</v>
      </c>
      <c r="H486" s="61" t="s">
        <v>2528</v>
      </c>
      <c r="I486" s="61" t="s">
        <v>1506</v>
      </c>
      <c r="J486" s="61"/>
      <c r="K486" s="61"/>
    </row>
    <row r="487" customFormat="false" ht="61.5" hidden="false" customHeight="true" outlineLevel="0" collapsed="false">
      <c r="A487" s="66" t="s">
        <v>2438</v>
      </c>
      <c r="B487" s="60" t="s">
        <v>778</v>
      </c>
      <c r="C487" s="61" t="s">
        <v>769</v>
      </c>
      <c r="D487" s="61" t="s">
        <v>779</v>
      </c>
      <c r="E487" s="62" t="s">
        <v>1498</v>
      </c>
      <c r="F487" s="62" t="s">
        <v>210</v>
      </c>
      <c r="G487" s="61" t="s">
        <v>2529</v>
      </c>
      <c r="H487" s="61" t="s">
        <v>2530</v>
      </c>
      <c r="I487" s="61" t="s">
        <v>1506</v>
      </c>
      <c r="J487" s="61"/>
      <c r="K487" s="61"/>
    </row>
    <row r="488" customFormat="false" ht="77.25" hidden="false" customHeight="true" outlineLevel="0" collapsed="false">
      <c r="A488" s="66" t="s">
        <v>2438</v>
      </c>
      <c r="B488" s="60" t="s">
        <v>778</v>
      </c>
      <c r="C488" s="61" t="s">
        <v>769</v>
      </c>
      <c r="D488" s="61" t="s">
        <v>779</v>
      </c>
      <c r="E488" s="62" t="s">
        <v>1498</v>
      </c>
      <c r="F488" s="62" t="s">
        <v>211</v>
      </c>
      <c r="G488" s="61" t="s">
        <v>2531</v>
      </c>
      <c r="H488" s="61" t="s">
        <v>2532</v>
      </c>
      <c r="I488" s="61" t="s">
        <v>1506</v>
      </c>
      <c r="J488" s="61"/>
      <c r="K488" s="61"/>
    </row>
    <row r="489" customFormat="false" ht="77.25" hidden="false" customHeight="true" outlineLevel="0" collapsed="false">
      <c r="A489" s="66" t="s">
        <v>2438</v>
      </c>
      <c r="B489" s="60" t="s">
        <v>778</v>
      </c>
      <c r="C489" s="61" t="s">
        <v>769</v>
      </c>
      <c r="D489" s="61" t="s">
        <v>779</v>
      </c>
      <c r="E489" s="62" t="s">
        <v>1511</v>
      </c>
      <c r="F489" s="62" t="s">
        <v>1512</v>
      </c>
      <c r="G489" s="61" t="s">
        <v>2533</v>
      </c>
      <c r="H489" s="61" t="s">
        <v>2534</v>
      </c>
      <c r="I489" s="61" t="s">
        <v>1506</v>
      </c>
      <c r="J489" s="61"/>
      <c r="K489" s="61"/>
    </row>
    <row r="490" customFormat="false" ht="77.25" hidden="false" customHeight="true" outlineLevel="0" collapsed="false">
      <c r="A490" s="66" t="s">
        <v>2438</v>
      </c>
      <c r="B490" s="60" t="s">
        <v>778</v>
      </c>
      <c r="C490" s="61" t="s">
        <v>769</v>
      </c>
      <c r="D490" s="61" t="s">
        <v>779</v>
      </c>
      <c r="E490" s="62" t="s">
        <v>1511</v>
      </c>
      <c r="F490" s="62" t="s">
        <v>213</v>
      </c>
      <c r="G490" s="61" t="s">
        <v>2535</v>
      </c>
      <c r="H490" s="61" t="s">
        <v>2536</v>
      </c>
      <c r="I490" s="61" t="s">
        <v>1506</v>
      </c>
      <c r="J490" s="61"/>
      <c r="K490" s="61"/>
    </row>
    <row r="491" customFormat="false" ht="77.25" hidden="false" customHeight="true" outlineLevel="0" collapsed="false">
      <c r="A491" s="66" t="s">
        <v>2438</v>
      </c>
      <c r="B491" s="60" t="s">
        <v>778</v>
      </c>
      <c r="C491" s="61" t="s">
        <v>769</v>
      </c>
      <c r="D491" s="61" t="s">
        <v>779</v>
      </c>
      <c r="E491" s="62" t="s">
        <v>1511</v>
      </c>
      <c r="F491" s="62" t="s">
        <v>214</v>
      </c>
      <c r="G491" s="61" t="s">
        <v>2537</v>
      </c>
      <c r="H491" s="61" t="s">
        <v>2538</v>
      </c>
      <c r="I491" s="61" t="s">
        <v>1506</v>
      </c>
      <c r="J491" s="61"/>
      <c r="K491" s="61"/>
    </row>
    <row r="492" customFormat="false" ht="77.25" hidden="false" customHeight="true" outlineLevel="0" collapsed="false">
      <c r="A492" s="66" t="s">
        <v>2438</v>
      </c>
      <c r="B492" s="60" t="s">
        <v>778</v>
      </c>
      <c r="C492" s="61" t="s">
        <v>769</v>
      </c>
      <c r="D492" s="61" t="s">
        <v>779</v>
      </c>
      <c r="E492" s="62" t="s">
        <v>1511</v>
      </c>
      <c r="F492" s="63" t="s">
        <v>215</v>
      </c>
      <c r="G492" s="61" t="s">
        <v>2539</v>
      </c>
      <c r="H492" s="61" t="s">
        <v>2540</v>
      </c>
      <c r="I492" s="61" t="s">
        <v>1506</v>
      </c>
      <c r="J492" s="61"/>
      <c r="K492" s="61"/>
    </row>
    <row r="493" customFormat="false" ht="93" hidden="false" customHeight="true" outlineLevel="0" collapsed="false">
      <c r="A493" s="66" t="s">
        <v>2438</v>
      </c>
      <c r="B493" s="60" t="s">
        <v>787</v>
      </c>
      <c r="C493" s="61" t="s">
        <v>769</v>
      </c>
      <c r="D493" s="61" t="s">
        <v>788</v>
      </c>
      <c r="E493" s="62" t="s">
        <v>1498</v>
      </c>
      <c r="F493" s="62" t="s">
        <v>1499</v>
      </c>
      <c r="G493" s="61" t="s">
        <v>2541</v>
      </c>
      <c r="H493" s="61" t="s">
        <v>2542</v>
      </c>
      <c r="I493" s="61" t="s">
        <v>1362</v>
      </c>
      <c r="J493" s="61" t="s">
        <v>2543</v>
      </c>
      <c r="K493" s="61" t="s">
        <v>1503</v>
      </c>
    </row>
    <row r="494" customFormat="false" ht="61.5" hidden="false" customHeight="true" outlineLevel="0" collapsed="false">
      <c r="A494" s="66" t="s">
        <v>2438</v>
      </c>
      <c r="B494" s="60" t="s">
        <v>787</v>
      </c>
      <c r="C494" s="61" t="s">
        <v>769</v>
      </c>
      <c r="D494" s="61" t="s">
        <v>788</v>
      </c>
      <c r="E494" s="62" t="s">
        <v>1498</v>
      </c>
      <c r="F494" s="62" t="s">
        <v>209</v>
      </c>
      <c r="G494" s="61" t="s">
        <v>2544</v>
      </c>
      <c r="H494" s="61" t="s">
        <v>2545</v>
      </c>
      <c r="I494" s="61" t="s">
        <v>1506</v>
      </c>
      <c r="J494" s="61"/>
      <c r="K494" s="61"/>
    </row>
    <row r="495" customFormat="false" ht="61.5" hidden="false" customHeight="true" outlineLevel="0" collapsed="false">
      <c r="A495" s="66" t="s">
        <v>2438</v>
      </c>
      <c r="B495" s="60" t="s">
        <v>787</v>
      </c>
      <c r="C495" s="61" t="s">
        <v>769</v>
      </c>
      <c r="D495" s="61" t="s">
        <v>788</v>
      </c>
      <c r="E495" s="62" t="s">
        <v>1498</v>
      </c>
      <c r="F495" s="62" t="s">
        <v>210</v>
      </c>
      <c r="G495" s="61" t="s">
        <v>2546</v>
      </c>
      <c r="H495" s="61" t="s">
        <v>2547</v>
      </c>
      <c r="I495" s="61" t="s">
        <v>1506</v>
      </c>
      <c r="J495" s="61"/>
      <c r="K495" s="61"/>
    </row>
    <row r="496" customFormat="false" ht="61.5" hidden="false" customHeight="true" outlineLevel="0" collapsed="false">
      <c r="A496" s="66" t="s">
        <v>2438</v>
      </c>
      <c r="B496" s="60" t="s">
        <v>787</v>
      </c>
      <c r="C496" s="61" t="s">
        <v>769</v>
      </c>
      <c r="D496" s="61" t="s">
        <v>788</v>
      </c>
      <c r="E496" s="62" t="s">
        <v>1498</v>
      </c>
      <c r="F496" s="62" t="s">
        <v>211</v>
      </c>
      <c r="G496" s="61" t="s">
        <v>2548</v>
      </c>
      <c r="H496" s="61" t="s">
        <v>2549</v>
      </c>
      <c r="I496" s="61" t="s">
        <v>1506</v>
      </c>
      <c r="J496" s="61"/>
      <c r="K496" s="61"/>
    </row>
    <row r="497" customFormat="false" ht="61.5" hidden="false" customHeight="true" outlineLevel="0" collapsed="false">
      <c r="A497" s="66" t="s">
        <v>2438</v>
      </c>
      <c r="B497" s="60" t="s">
        <v>787</v>
      </c>
      <c r="C497" s="61" t="s">
        <v>769</v>
      </c>
      <c r="D497" s="61" t="s">
        <v>788</v>
      </c>
      <c r="E497" s="62" t="s">
        <v>1511</v>
      </c>
      <c r="F497" s="62" t="s">
        <v>1512</v>
      </c>
      <c r="G497" s="61" t="s">
        <v>2550</v>
      </c>
      <c r="H497" s="61" t="s">
        <v>2551</v>
      </c>
      <c r="I497" s="61" t="s">
        <v>1506</v>
      </c>
      <c r="J497" s="61"/>
      <c r="K497" s="61"/>
    </row>
    <row r="498" customFormat="false" ht="61.5" hidden="false" customHeight="true" outlineLevel="0" collapsed="false">
      <c r="A498" s="66" t="s">
        <v>2438</v>
      </c>
      <c r="B498" s="60" t="s">
        <v>787</v>
      </c>
      <c r="C498" s="61" t="s">
        <v>769</v>
      </c>
      <c r="D498" s="61" t="s">
        <v>788</v>
      </c>
      <c r="E498" s="62" t="s">
        <v>1511</v>
      </c>
      <c r="F498" s="62" t="s">
        <v>213</v>
      </c>
      <c r="G498" s="61" t="s">
        <v>2552</v>
      </c>
      <c r="H498" s="61" t="s">
        <v>2553</v>
      </c>
      <c r="I498" s="61" t="s">
        <v>1506</v>
      </c>
      <c r="J498" s="61"/>
      <c r="K498" s="61"/>
    </row>
    <row r="499" customFormat="false" ht="61.5" hidden="false" customHeight="true" outlineLevel="0" collapsed="false">
      <c r="A499" s="66" t="s">
        <v>2438</v>
      </c>
      <c r="B499" s="60" t="s">
        <v>787</v>
      </c>
      <c r="C499" s="61" t="s">
        <v>769</v>
      </c>
      <c r="D499" s="61" t="s">
        <v>788</v>
      </c>
      <c r="E499" s="62" t="s">
        <v>1511</v>
      </c>
      <c r="F499" s="62" t="s">
        <v>214</v>
      </c>
      <c r="G499" s="61" t="s">
        <v>2554</v>
      </c>
      <c r="H499" s="61" t="s">
        <v>2555</v>
      </c>
      <c r="I499" s="61" t="s">
        <v>1506</v>
      </c>
      <c r="J499" s="61"/>
      <c r="K499" s="61"/>
    </row>
    <row r="500" customFormat="false" ht="61.5" hidden="false" customHeight="true" outlineLevel="0" collapsed="false">
      <c r="A500" s="66" t="s">
        <v>2438</v>
      </c>
      <c r="B500" s="60" t="s">
        <v>787</v>
      </c>
      <c r="C500" s="61" t="s">
        <v>769</v>
      </c>
      <c r="D500" s="61" t="s">
        <v>788</v>
      </c>
      <c r="E500" s="62" t="s">
        <v>1511</v>
      </c>
      <c r="F500" s="63" t="s">
        <v>215</v>
      </c>
      <c r="G500" s="61" t="s">
        <v>2556</v>
      </c>
      <c r="H500" s="61" t="s">
        <v>2557</v>
      </c>
      <c r="I500" s="61" t="s">
        <v>1506</v>
      </c>
      <c r="J500" s="61"/>
      <c r="K500" s="61"/>
    </row>
    <row r="501" customFormat="false" ht="77.25" hidden="false" customHeight="true" outlineLevel="0" collapsed="false">
      <c r="A501" s="66" t="s">
        <v>2438</v>
      </c>
      <c r="B501" s="60" t="s">
        <v>796</v>
      </c>
      <c r="C501" s="61" t="s">
        <v>769</v>
      </c>
      <c r="D501" s="61" t="s">
        <v>797</v>
      </c>
      <c r="E501" s="62" t="s">
        <v>1498</v>
      </c>
      <c r="F501" s="62" t="s">
        <v>1499</v>
      </c>
      <c r="G501" s="61" t="s">
        <v>2558</v>
      </c>
      <c r="H501" s="61" t="s">
        <v>2559</v>
      </c>
      <c r="I501" s="61" t="s">
        <v>1368</v>
      </c>
      <c r="J501" s="61" t="s">
        <v>2560</v>
      </c>
      <c r="K501" s="61" t="s">
        <v>1503</v>
      </c>
    </row>
    <row r="502" customFormat="false" ht="77.25" hidden="false" customHeight="true" outlineLevel="0" collapsed="false">
      <c r="A502" s="66" t="s">
        <v>2438</v>
      </c>
      <c r="B502" s="60" t="s">
        <v>796</v>
      </c>
      <c r="C502" s="61" t="s">
        <v>769</v>
      </c>
      <c r="D502" s="61" t="s">
        <v>797</v>
      </c>
      <c r="E502" s="62" t="s">
        <v>1498</v>
      </c>
      <c r="F502" s="62" t="s">
        <v>209</v>
      </c>
      <c r="G502" s="61" t="s">
        <v>2561</v>
      </c>
      <c r="H502" s="61" t="s">
        <v>2562</v>
      </c>
      <c r="I502" s="61" t="s">
        <v>1506</v>
      </c>
      <c r="J502" s="61"/>
      <c r="K502" s="61"/>
    </row>
    <row r="503" customFormat="false" ht="61.5" hidden="false" customHeight="true" outlineLevel="0" collapsed="false">
      <c r="A503" s="66" t="s">
        <v>2438</v>
      </c>
      <c r="B503" s="60" t="s">
        <v>796</v>
      </c>
      <c r="C503" s="61" t="s">
        <v>769</v>
      </c>
      <c r="D503" s="61" t="s">
        <v>797</v>
      </c>
      <c r="E503" s="62" t="s">
        <v>1498</v>
      </c>
      <c r="F503" s="62" t="s">
        <v>210</v>
      </c>
      <c r="G503" s="61" t="s">
        <v>2563</v>
      </c>
      <c r="H503" s="61" t="s">
        <v>2564</v>
      </c>
      <c r="I503" s="61" t="s">
        <v>1506</v>
      </c>
      <c r="J503" s="61"/>
      <c r="K503" s="61"/>
    </row>
    <row r="504" customFormat="false" ht="61.5" hidden="false" customHeight="true" outlineLevel="0" collapsed="false">
      <c r="A504" s="66" t="s">
        <v>2438</v>
      </c>
      <c r="B504" s="60" t="s">
        <v>796</v>
      </c>
      <c r="C504" s="61" t="s">
        <v>769</v>
      </c>
      <c r="D504" s="61" t="s">
        <v>797</v>
      </c>
      <c r="E504" s="62" t="s">
        <v>1498</v>
      </c>
      <c r="F504" s="62" t="s">
        <v>211</v>
      </c>
      <c r="G504" s="61" t="s">
        <v>2565</v>
      </c>
      <c r="H504" s="61" t="s">
        <v>2566</v>
      </c>
      <c r="I504" s="61" t="s">
        <v>1506</v>
      </c>
      <c r="J504" s="61"/>
      <c r="K504" s="61"/>
    </row>
    <row r="505" customFormat="false" ht="77.25" hidden="false" customHeight="true" outlineLevel="0" collapsed="false">
      <c r="A505" s="66" t="s">
        <v>2438</v>
      </c>
      <c r="B505" s="60" t="s">
        <v>796</v>
      </c>
      <c r="C505" s="61" t="s">
        <v>769</v>
      </c>
      <c r="D505" s="61" t="s">
        <v>797</v>
      </c>
      <c r="E505" s="62" t="s">
        <v>1511</v>
      </c>
      <c r="F505" s="62" t="s">
        <v>1512</v>
      </c>
      <c r="G505" s="61" t="s">
        <v>2567</v>
      </c>
      <c r="H505" s="61" t="s">
        <v>2568</v>
      </c>
      <c r="I505" s="61" t="s">
        <v>1506</v>
      </c>
      <c r="J505" s="61"/>
      <c r="K505" s="61"/>
    </row>
    <row r="506" customFormat="false" ht="61.5" hidden="false" customHeight="true" outlineLevel="0" collapsed="false">
      <c r="A506" s="66" t="s">
        <v>2438</v>
      </c>
      <c r="B506" s="60" t="s">
        <v>796</v>
      </c>
      <c r="C506" s="61" t="s">
        <v>769</v>
      </c>
      <c r="D506" s="61" t="s">
        <v>797</v>
      </c>
      <c r="E506" s="62" t="s">
        <v>1511</v>
      </c>
      <c r="F506" s="62" t="s">
        <v>213</v>
      </c>
      <c r="G506" s="61" t="s">
        <v>2569</v>
      </c>
      <c r="H506" s="61" t="s">
        <v>2570</v>
      </c>
      <c r="I506" s="61" t="s">
        <v>1506</v>
      </c>
      <c r="J506" s="61"/>
      <c r="K506" s="61"/>
    </row>
    <row r="507" customFormat="false" ht="77.25" hidden="false" customHeight="true" outlineLevel="0" collapsed="false">
      <c r="A507" s="66" t="s">
        <v>2438</v>
      </c>
      <c r="B507" s="60" t="s">
        <v>796</v>
      </c>
      <c r="C507" s="61" t="s">
        <v>769</v>
      </c>
      <c r="D507" s="61" t="s">
        <v>797</v>
      </c>
      <c r="E507" s="62" t="s">
        <v>1511</v>
      </c>
      <c r="F507" s="62" t="s">
        <v>214</v>
      </c>
      <c r="G507" s="61" t="s">
        <v>2571</v>
      </c>
      <c r="H507" s="61" t="s">
        <v>2572</v>
      </c>
      <c r="I507" s="61" t="s">
        <v>1506</v>
      </c>
      <c r="J507" s="61"/>
      <c r="K507" s="61"/>
    </row>
    <row r="508" customFormat="false" ht="77.25" hidden="false" customHeight="true" outlineLevel="0" collapsed="false">
      <c r="A508" s="66" t="s">
        <v>2438</v>
      </c>
      <c r="B508" s="60" t="s">
        <v>796</v>
      </c>
      <c r="C508" s="61" t="s">
        <v>769</v>
      </c>
      <c r="D508" s="61" t="s">
        <v>797</v>
      </c>
      <c r="E508" s="62" t="s">
        <v>1511</v>
      </c>
      <c r="F508" s="63" t="s">
        <v>215</v>
      </c>
      <c r="G508" s="61" t="s">
        <v>2573</v>
      </c>
      <c r="H508" s="61" t="s">
        <v>2574</v>
      </c>
      <c r="I508" s="61" t="s">
        <v>1506</v>
      </c>
      <c r="J508" s="61"/>
      <c r="K508" s="61"/>
    </row>
    <row r="509" customFormat="false" ht="77.25" hidden="false" customHeight="true" outlineLevel="0" collapsed="false">
      <c r="A509" s="66" t="s">
        <v>2438</v>
      </c>
      <c r="B509" s="60" t="s">
        <v>805</v>
      </c>
      <c r="C509" s="61" t="s">
        <v>769</v>
      </c>
      <c r="D509" s="61" t="s">
        <v>806</v>
      </c>
      <c r="E509" s="62" t="s">
        <v>1498</v>
      </c>
      <c r="F509" s="62" t="s">
        <v>1499</v>
      </c>
      <c r="G509" s="61" t="s">
        <v>2575</v>
      </c>
      <c r="H509" s="61" t="s">
        <v>2576</v>
      </c>
      <c r="I509" s="61" t="s">
        <v>1374</v>
      </c>
      <c r="J509" s="61" t="s">
        <v>2577</v>
      </c>
      <c r="K509" s="61" t="s">
        <v>1503</v>
      </c>
    </row>
    <row r="510" customFormat="false" ht="61.5" hidden="false" customHeight="true" outlineLevel="0" collapsed="false">
      <c r="A510" s="66" t="s">
        <v>2438</v>
      </c>
      <c r="B510" s="60" t="s">
        <v>805</v>
      </c>
      <c r="C510" s="61" t="s">
        <v>769</v>
      </c>
      <c r="D510" s="61" t="s">
        <v>806</v>
      </c>
      <c r="E510" s="62" t="s">
        <v>1498</v>
      </c>
      <c r="F510" s="62" t="s">
        <v>209</v>
      </c>
      <c r="G510" s="61" t="s">
        <v>2578</v>
      </c>
      <c r="H510" s="61" t="s">
        <v>2579</v>
      </c>
      <c r="I510" s="61" t="s">
        <v>1506</v>
      </c>
      <c r="J510" s="61"/>
      <c r="K510" s="61"/>
    </row>
    <row r="511" customFormat="false" ht="61.5" hidden="false" customHeight="true" outlineLevel="0" collapsed="false">
      <c r="A511" s="66" t="s">
        <v>2438</v>
      </c>
      <c r="B511" s="60" t="s">
        <v>805</v>
      </c>
      <c r="C511" s="61" t="s">
        <v>769</v>
      </c>
      <c r="D511" s="61" t="s">
        <v>806</v>
      </c>
      <c r="E511" s="62" t="s">
        <v>1498</v>
      </c>
      <c r="F511" s="62" t="s">
        <v>210</v>
      </c>
      <c r="G511" s="61" t="s">
        <v>2580</v>
      </c>
      <c r="H511" s="61" t="s">
        <v>2581</v>
      </c>
      <c r="I511" s="61" t="s">
        <v>1506</v>
      </c>
      <c r="J511" s="61"/>
      <c r="K511" s="61"/>
    </row>
    <row r="512" customFormat="false" ht="61.5" hidden="false" customHeight="true" outlineLevel="0" collapsed="false">
      <c r="A512" s="66" t="s">
        <v>2438</v>
      </c>
      <c r="B512" s="60" t="s">
        <v>805</v>
      </c>
      <c r="C512" s="61" t="s">
        <v>769</v>
      </c>
      <c r="D512" s="61" t="s">
        <v>806</v>
      </c>
      <c r="E512" s="62" t="s">
        <v>1498</v>
      </c>
      <c r="F512" s="62" t="s">
        <v>211</v>
      </c>
      <c r="G512" s="61" t="s">
        <v>2582</v>
      </c>
      <c r="H512" s="61" t="s">
        <v>2583</v>
      </c>
      <c r="I512" s="61" t="s">
        <v>1506</v>
      </c>
      <c r="J512" s="61"/>
      <c r="K512" s="61"/>
    </row>
    <row r="513" customFormat="false" ht="61.5" hidden="false" customHeight="true" outlineLevel="0" collapsed="false">
      <c r="A513" s="66" t="s">
        <v>2438</v>
      </c>
      <c r="B513" s="60" t="s">
        <v>805</v>
      </c>
      <c r="C513" s="61" t="s">
        <v>769</v>
      </c>
      <c r="D513" s="61" t="s">
        <v>806</v>
      </c>
      <c r="E513" s="62" t="s">
        <v>1511</v>
      </c>
      <c r="F513" s="62" t="s">
        <v>1512</v>
      </c>
      <c r="G513" s="61" t="s">
        <v>2584</v>
      </c>
      <c r="H513" s="61" t="s">
        <v>2585</v>
      </c>
      <c r="I513" s="61" t="s">
        <v>1506</v>
      </c>
      <c r="J513" s="61"/>
      <c r="K513" s="61"/>
    </row>
    <row r="514" customFormat="false" ht="61.5" hidden="false" customHeight="true" outlineLevel="0" collapsed="false">
      <c r="A514" s="66" t="s">
        <v>2438</v>
      </c>
      <c r="B514" s="60" t="s">
        <v>805</v>
      </c>
      <c r="C514" s="61" t="s">
        <v>769</v>
      </c>
      <c r="D514" s="61" t="s">
        <v>806</v>
      </c>
      <c r="E514" s="62" t="s">
        <v>1511</v>
      </c>
      <c r="F514" s="62" t="s">
        <v>213</v>
      </c>
      <c r="G514" s="61" t="s">
        <v>2586</v>
      </c>
      <c r="H514" s="61" t="s">
        <v>2587</v>
      </c>
      <c r="I514" s="61" t="s">
        <v>1506</v>
      </c>
      <c r="J514" s="61"/>
      <c r="K514" s="61"/>
    </row>
    <row r="515" customFormat="false" ht="61.5" hidden="false" customHeight="true" outlineLevel="0" collapsed="false">
      <c r="A515" s="66" t="s">
        <v>2438</v>
      </c>
      <c r="B515" s="60" t="s">
        <v>805</v>
      </c>
      <c r="C515" s="61" t="s">
        <v>769</v>
      </c>
      <c r="D515" s="61" t="s">
        <v>806</v>
      </c>
      <c r="E515" s="62" t="s">
        <v>1511</v>
      </c>
      <c r="F515" s="62" t="s">
        <v>214</v>
      </c>
      <c r="G515" s="61" t="s">
        <v>2588</v>
      </c>
      <c r="H515" s="61" t="s">
        <v>2589</v>
      </c>
      <c r="I515" s="61" t="s">
        <v>1506</v>
      </c>
      <c r="J515" s="61"/>
      <c r="K515" s="61"/>
    </row>
    <row r="516" customFormat="false" ht="77.25" hidden="false" customHeight="true" outlineLevel="0" collapsed="false">
      <c r="A516" s="66" t="s">
        <v>2438</v>
      </c>
      <c r="B516" s="60" t="s">
        <v>805</v>
      </c>
      <c r="C516" s="61" t="s">
        <v>769</v>
      </c>
      <c r="D516" s="61" t="s">
        <v>806</v>
      </c>
      <c r="E516" s="62" t="s">
        <v>1511</v>
      </c>
      <c r="F516" s="63" t="s">
        <v>215</v>
      </c>
      <c r="G516" s="61" t="s">
        <v>2590</v>
      </c>
      <c r="H516" s="61" t="s">
        <v>2591</v>
      </c>
      <c r="I516" s="61" t="s">
        <v>1506</v>
      </c>
      <c r="J516" s="61"/>
      <c r="K516" s="61"/>
    </row>
    <row r="517" customFormat="false" ht="77.25" hidden="false" customHeight="true" outlineLevel="0" collapsed="false">
      <c r="A517" s="66" t="s">
        <v>2438</v>
      </c>
      <c r="B517" s="60" t="s">
        <v>814</v>
      </c>
      <c r="C517" s="61" t="s">
        <v>815</v>
      </c>
      <c r="D517" s="61" t="s">
        <v>816</v>
      </c>
      <c r="E517" s="62" t="s">
        <v>1498</v>
      </c>
      <c r="F517" s="62" t="s">
        <v>1499</v>
      </c>
      <c r="G517" s="61" t="s">
        <v>2592</v>
      </c>
      <c r="H517" s="61" t="s">
        <v>2593</v>
      </c>
      <c r="I517" s="61" t="s">
        <v>1380</v>
      </c>
      <c r="J517" s="61" t="s">
        <v>2594</v>
      </c>
      <c r="K517" s="61" t="s">
        <v>1503</v>
      </c>
    </row>
    <row r="518" customFormat="false" ht="61.5" hidden="false" customHeight="true" outlineLevel="0" collapsed="false">
      <c r="A518" s="66" t="s">
        <v>2438</v>
      </c>
      <c r="B518" s="60" t="s">
        <v>814</v>
      </c>
      <c r="C518" s="61" t="s">
        <v>815</v>
      </c>
      <c r="D518" s="61" t="s">
        <v>816</v>
      </c>
      <c r="E518" s="62" t="s">
        <v>1498</v>
      </c>
      <c r="F518" s="62" t="s">
        <v>209</v>
      </c>
      <c r="G518" s="61" t="s">
        <v>2595</v>
      </c>
      <c r="H518" s="61" t="s">
        <v>2596</v>
      </c>
      <c r="I518" s="61" t="s">
        <v>1506</v>
      </c>
      <c r="J518" s="61"/>
      <c r="K518" s="61"/>
    </row>
    <row r="519" customFormat="false" ht="61.5" hidden="false" customHeight="true" outlineLevel="0" collapsed="false">
      <c r="A519" s="66" t="s">
        <v>2438</v>
      </c>
      <c r="B519" s="60" t="s">
        <v>814</v>
      </c>
      <c r="C519" s="61" t="s">
        <v>815</v>
      </c>
      <c r="D519" s="61" t="s">
        <v>816</v>
      </c>
      <c r="E519" s="62" t="s">
        <v>1498</v>
      </c>
      <c r="F519" s="62" t="s">
        <v>210</v>
      </c>
      <c r="G519" s="61" t="s">
        <v>2597</v>
      </c>
      <c r="H519" s="61" t="s">
        <v>2598</v>
      </c>
      <c r="I519" s="61" t="s">
        <v>1506</v>
      </c>
      <c r="J519" s="61"/>
      <c r="K519" s="61"/>
    </row>
    <row r="520" customFormat="false" ht="61.5" hidden="false" customHeight="true" outlineLevel="0" collapsed="false">
      <c r="A520" s="66" t="s">
        <v>2438</v>
      </c>
      <c r="B520" s="60" t="s">
        <v>814</v>
      </c>
      <c r="C520" s="61" t="s">
        <v>815</v>
      </c>
      <c r="D520" s="61" t="s">
        <v>816</v>
      </c>
      <c r="E520" s="62" t="s">
        <v>1498</v>
      </c>
      <c r="F520" s="62" t="s">
        <v>211</v>
      </c>
      <c r="G520" s="61" t="s">
        <v>2599</v>
      </c>
      <c r="H520" s="61" t="s">
        <v>2600</v>
      </c>
      <c r="I520" s="61" t="s">
        <v>1506</v>
      </c>
      <c r="J520" s="61"/>
      <c r="K520" s="61"/>
    </row>
    <row r="521" customFormat="false" ht="61.5" hidden="false" customHeight="true" outlineLevel="0" collapsed="false">
      <c r="A521" s="66" t="s">
        <v>2438</v>
      </c>
      <c r="B521" s="60" t="s">
        <v>814</v>
      </c>
      <c r="C521" s="61" t="s">
        <v>815</v>
      </c>
      <c r="D521" s="61" t="s">
        <v>816</v>
      </c>
      <c r="E521" s="62" t="s">
        <v>1511</v>
      </c>
      <c r="F521" s="62" t="s">
        <v>1512</v>
      </c>
      <c r="G521" s="61" t="s">
        <v>2601</v>
      </c>
      <c r="H521" s="61" t="s">
        <v>2602</v>
      </c>
      <c r="I521" s="61" t="s">
        <v>1506</v>
      </c>
      <c r="J521" s="61"/>
      <c r="K521" s="61"/>
    </row>
    <row r="522" customFormat="false" ht="61.5" hidden="false" customHeight="true" outlineLevel="0" collapsed="false">
      <c r="A522" s="66" t="s">
        <v>2438</v>
      </c>
      <c r="B522" s="60" t="s">
        <v>814</v>
      </c>
      <c r="C522" s="61" t="s">
        <v>815</v>
      </c>
      <c r="D522" s="61" t="s">
        <v>816</v>
      </c>
      <c r="E522" s="62" t="s">
        <v>1511</v>
      </c>
      <c r="F522" s="62" t="s">
        <v>213</v>
      </c>
      <c r="G522" s="61" t="s">
        <v>2603</v>
      </c>
      <c r="H522" s="61" t="s">
        <v>2604</v>
      </c>
      <c r="I522" s="61" t="s">
        <v>1506</v>
      </c>
      <c r="J522" s="61"/>
      <c r="K522" s="61"/>
    </row>
    <row r="523" customFormat="false" ht="61.5" hidden="false" customHeight="true" outlineLevel="0" collapsed="false">
      <c r="A523" s="66" t="s">
        <v>2438</v>
      </c>
      <c r="B523" s="60" t="s">
        <v>814</v>
      </c>
      <c r="C523" s="61" t="s">
        <v>815</v>
      </c>
      <c r="D523" s="61" t="s">
        <v>816</v>
      </c>
      <c r="E523" s="62" t="s">
        <v>1511</v>
      </c>
      <c r="F523" s="62" t="s">
        <v>214</v>
      </c>
      <c r="G523" s="61" t="s">
        <v>2605</v>
      </c>
      <c r="H523" s="61" t="s">
        <v>2606</v>
      </c>
      <c r="I523" s="61" t="s">
        <v>1506</v>
      </c>
      <c r="J523" s="61"/>
      <c r="K523" s="61"/>
    </row>
    <row r="524" customFormat="false" ht="61.5" hidden="false" customHeight="true" outlineLevel="0" collapsed="false">
      <c r="A524" s="66" t="s">
        <v>2438</v>
      </c>
      <c r="B524" s="60" t="s">
        <v>814</v>
      </c>
      <c r="C524" s="61" t="s">
        <v>815</v>
      </c>
      <c r="D524" s="61" t="s">
        <v>816</v>
      </c>
      <c r="E524" s="62" t="s">
        <v>1511</v>
      </c>
      <c r="F524" s="63" t="s">
        <v>215</v>
      </c>
      <c r="G524" s="61" t="s">
        <v>2607</v>
      </c>
      <c r="H524" s="61" t="s">
        <v>2608</v>
      </c>
      <c r="I524" s="61" t="s">
        <v>1506</v>
      </c>
      <c r="J524" s="61"/>
      <c r="K524" s="61"/>
    </row>
    <row r="525" customFormat="false" ht="93" hidden="false" customHeight="true" outlineLevel="0" collapsed="false">
      <c r="A525" s="66" t="s">
        <v>2438</v>
      </c>
      <c r="B525" s="60" t="s">
        <v>824</v>
      </c>
      <c r="C525" s="61" t="s">
        <v>815</v>
      </c>
      <c r="D525" s="61" t="s">
        <v>825</v>
      </c>
      <c r="E525" s="62" t="s">
        <v>1498</v>
      </c>
      <c r="F525" s="62" t="s">
        <v>1499</v>
      </c>
      <c r="G525" s="61" t="s">
        <v>2609</v>
      </c>
      <c r="H525" s="61" t="s">
        <v>2610</v>
      </c>
      <c r="I525" s="61" t="s">
        <v>1386</v>
      </c>
      <c r="J525" s="61" t="s">
        <v>2611</v>
      </c>
      <c r="K525" s="61" t="s">
        <v>1503</v>
      </c>
    </row>
    <row r="526" customFormat="false" ht="61.5" hidden="false" customHeight="true" outlineLevel="0" collapsed="false">
      <c r="A526" s="66" t="s">
        <v>2438</v>
      </c>
      <c r="B526" s="60" t="s">
        <v>824</v>
      </c>
      <c r="C526" s="61" t="s">
        <v>815</v>
      </c>
      <c r="D526" s="61" t="s">
        <v>825</v>
      </c>
      <c r="E526" s="62" t="s">
        <v>1498</v>
      </c>
      <c r="F526" s="62" t="s">
        <v>209</v>
      </c>
      <c r="G526" s="61" t="s">
        <v>2612</v>
      </c>
      <c r="H526" s="61" t="s">
        <v>2613</v>
      </c>
      <c r="I526" s="61" t="s">
        <v>1506</v>
      </c>
      <c r="J526" s="61"/>
      <c r="K526" s="61"/>
    </row>
    <row r="527" customFormat="false" ht="61.5" hidden="false" customHeight="true" outlineLevel="0" collapsed="false">
      <c r="A527" s="66" t="s">
        <v>2438</v>
      </c>
      <c r="B527" s="60" t="s">
        <v>824</v>
      </c>
      <c r="C527" s="61" t="s">
        <v>815</v>
      </c>
      <c r="D527" s="61" t="s">
        <v>825</v>
      </c>
      <c r="E527" s="62" t="s">
        <v>1498</v>
      </c>
      <c r="F527" s="62" t="s">
        <v>210</v>
      </c>
      <c r="G527" s="61" t="s">
        <v>2614</v>
      </c>
      <c r="H527" s="61" t="s">
        <v>2615</v>
      </c>
      <c r="I527" s="61" t="s">
        <v>1506</v>
      </c>
      <c r="J527" s="61"/>
      <c r="K527" s="61"/>
    </row>
    <row r="528" customFormat="false" ht="61.5" hidden="false" customHeight="true" outlineLevel="0" collapsed="false">
      <c r="A528" s="66" t="s">
        <v>2438</v>
      </c>
      <c r="B528" s="60" t="s">
        <v>824</v>
      </c>
      <c r="C528" s="61" t="s">
        <v>815</v>
      </c>
      <c r="D528" s="61" t="s">
        <v>825</v>
      </c>
      <c r="E528" s="62" t="s">
        <v>1498</v>
      </c>
      <c r="F528" s="62" t="s">
        <v>211</v>
      </c>
      <c r="G528" s="61" t="s">
        <v>2616</v>
      </c>
      <c r="H528" s="61" t="s">
        <v>2617</v>
      </c>
      <c r="I528" s="61" t="s">
        <v>1506</v>
      </c>
      <c r="J528" s="61"/>
      <c r="K528" s="61"/>
    </row>
    <row r="529" customFormat="false" ht="61.5" hidden="false" customHeight="true" outlineLevel="0" collapsed="false">
      <c r="A529" s="66" t="s">
        <v>2438</v>
      </c>
      <c r="B529" s="60" t="s">
        <v>824</v>
      </c>
      <c r="C529" s="61" t="s">
        <v>815</v>
      </c>
      <c r="D529" s="61" t="s">
        <v>825</v>
      </c>
      <c r="E529" s="62" t="s">
        <v>1511</v>
      </c>
      <c r="F529" s="62" t="s">
        <v>1512</v>
      </c>
      <c r="G529" s="61" t="s">
        <v>2618</v>
      </c>
      <c r="H529" s="61" t="s">
        <v>2619</v>
      </c>
      <c r="I529" s="61" t="s">
        <v>1506</v>
      </c>
      <c r="J529" s="61"/>
      <c r="K529" s="61"/>
    </row>
    <row r="530" customFormat="false" ht="61.5" hidden="false" customHeight="true" outlineLevel="0" collapsed="false">
      <c r="A530" s="66" t="s">
        <v>2438</v>
      </c>
      <c r="B530" s="60" t="s">
        <v>824</v>
      </c>
      <c r="C530" s="61" t="s">
        <v>815</v>
      </c>
      <c r="D530" s="61" t="s">
        <v>825</v>
      </c>
      <c r="E530" s="62" t="s">
        <v>1511</v>
      </c>
      <c r="F530" s="62" t="s">
        <v>213</v>
      </c>
      <c r="G530" s="61" t="s">
        <v>2620</v>
      </c>
      <c r="H530" s="61" t="s">
        <v>2621</v>
      </c>
      <c r="I530" s="61" t="s">
        <v>1506</v>
      </c>
      <c r="J530" s="61"/>
      <c r="K530" s="61"/>
    </row>
    <row r="531" customFormat="false" ht="61.5" hidden="false" customHeight="true" outlineLevel="0" collapsed="false">
      <c r="A531" s="66" t="s">
        <v>2438</v>
      </c>
      <c r="B531" s="60" t="s">
        <v>824</v>
      </c>
      <c r="C531" s="61" t="s">
        <v>815</v>
      </c>
      <c r="D531" s="61" t="s">
        <v>825</v>
      </c>
      <c r="E531" s="62" t="s">
        <v>1511</v>
      </c>
      <c r="F531" s="62" t="s">
        <v>214</v>
      </c>
      <c r="G531" s="61" t="s">
        <v>2622</v>
      </c>
      <c r="H531" s="61" t="s">
        <v>2623</v>
      </c>
      <c r="I531" s="61" t="s">
        <v>1506</v>
      </c>
      <c r="J531" s="61"/>
      <c r="K531" s="61"/>
    </row>
    <row r="532" customFormat="false" ht="77.25" hidden="false" customHeight="true" outlineLevel="0" collapsed="false">
      <c r="A532" s="66" t="s">
        <v>2438</v>
      </c>
      <c r="B532" s="60" t="s">
        <v>824</v>
      </c>
      <c r="C532" s="61" t="s">
        <v>815</v>
      </c>
      <c r="D532" s="61" t="s">
        <v>825</v>
      </c>
      <c r="E532" s="62" t="s">
        <v>1511</v>
      </c>
      <c r="F532" s="63" t="s">
        <v>215</v>
      </c>
      <c r="G532" s="61" t="s">
        <v>2624</v>
      </c>
      <c r="H532" s="61" t="s">
        <v>2625</v>
      </c>
      <c r="I532" s="61" t="s">
        <v>1506</v>
      </c>
      <c r="J532" s="61"/>
      <c r="K532" s="61"/>
    </row>
    <row r="533" customFormat="false" ht="77.25" hidden="false" customHeight="true" outlineLevel="0" collapsed="false">
      <c r="A533" s="66" t="s">
        <v>2438</v>
      </c>
      <c r="B533" s="60" t="s">
        <v>833</v>
      </c>
      <c r="C533" s="61" t="s">
        <v>815</v>
      </c>
      <c r="D533" s="61" t="s">
        <v>834</v>
      </c>
      <c r="E533" s="62" t="s">
        <v>1498</v>
      </c>
      <c r="F533" s="62" t="s">
        <v>1499</v>
      </c>
      <c r="G533" s="61" t="s">
        <v>2626</v>
      </c>
      <c r="H533" s="61" t="s">
        <v>2627</v>
      </c>
      <c r="I533" s="61" t="s">
        <v>1392</v>
      </c>
      <c r="J533" s="61" t="s">
        <v>2628</v>
      </c>
      <c r="K533" s="61" t="s">
        <v>1503</v>
      </c>
    </row>
    <row r="534" customFormat="false" ht="61.5" hidden="false" customHeight="true" outlineLevel="0" collapsed="false">
      <c r="A534" s="66" t="s">
        <v>2438</v>
      </c>
      <c r="B534" s="60" t="s">
        <v>833</v>
      </c>
      <c r="C534" s="61" t="s">
        <v>815</v>
      </c>
      <c r="D534" s="61" t="s">
        <v>834</v>
      </c>
      <c r="E534" s="62" t="s">
        <v>1498</v>
      </c>
      <c r="F534" s="62" t="s">
        <v>209</v>
      </c>
      <c r="G534" s="61" t="s">
        <v>2629</v>
      </c>
      <c r="H534" s="61" t="s">
        <v>2630</v>
      </c>
      <c r="I534" s="61" t="s">
        <v>1506</v>
      </c>
      <c r="J534" s="61"/>
      <c r="K534" s="61"/>
    </row>
    <row r="535" customFormat="false" ht="46.5" hidden="false" customHeight="true" outlineLevel="0" collapsed="false">
      <c r="A535" s="66" t="s">
        <v>2438</v>
      </c>
      <c r="B535" s="60" t="s">
        <v>833</v>
      </c>
      <c r="C535" s="61" t="s">
        <v>815</v>
      </c>
      <c r="D535" s="61" t="s">
        <v>834</v>
      </c>
      <c r="E535" s="62" t="s">
        <v>1498</v>
      </c>
      <c r="F535" s="62" t="s">
        <v>210</v>
      </c>
      <c r="G535" s="61" t="s">
        <v>2631</v>
      </c>
      <c r="H535" s="61" t="s">
        <v>2632</v>
      </c>
      <c r="I535" s="61" t="s">
        <v>1506</v>
      </c>
      <c r="J535" s="61"/>
      <c r="K535" s="61"/>
    </row>
    <row r="536" customFormat="false" ht="61.5" hidden="false" customHeight="true" outlineLevel="0" collapsed="false">
      <c r="A536" s="66" t="s">
        <v>2438</v>
      </c>
      <c r="B536" s="60" t="s">
        <v>833</v>
      </c>
      <c r="C536" s="61" t="s">
        <v>815</v>
      </c>
      <c r="D536" s="61" t="s">
        <v>834</v>
      </c>
      <c r="E536" s="62" t="s">
        <v>1498</v>
      </c>
      <c r="F536" s="62" t="s">
        <v>211</v>
      </c>
      <c r="G536" s="61" t="s">
        <v>2633</v>
      </c>
      <c r="H536" s="61" t="s">
        <v>2634</v>
      </c>
      <c r="I536" s="61" t="s">
        <v>1506</v>
      </c>
      <c r="J536" s="61"/>
      <c r="K536" s="61"/>
    </row>
    <row r="537" customFormat="false" ht="61.5" hidden="false" customHeight="true" outlineLevel="0" collapsed="false">
      <c r="A537" s="66" t="s">
        <v>2438</v>
      </c>
      <c r="B537" s="60" t="s">
        <v>833</v>
      </c>
      <c r="C537" s="61" t="s">
        <v>815</v>
      </c>
      <c r="D537" s="61" t="s">
        <v>834</v>
      </c>
      <c r="E537" s="62" t="s">
        <v>1511</v>
      </c>
      <c r="F537" s="62" t="s">
        <v>1512</v>
      </c>
      <c r="G537" s="61" t="s">
        <v>2635</v>
      </c>
      <c r="H537" s="61" t="s">
        <v>2636</v>
      </c>
      <c r="I537" s="61" t="s">
        <v>1506</v>
      </c>
      <c r="J537" s="61"/>
      <c r="K537" s="61"/>
    </row>
    <row r="538" customFormat="false" ht="61.5" hidden="false" customHeight="true" outlineLevel="0" collapsed="false">
      <c r="A538" s="66" t="s">
        <v>2438</v>
      </c>
      <c r="B538" s="60" t="s">
        <v>833</v>
      </c>
      <c r="C538" s="61" t="s">
        <v>815</v>
      </c>
      <c r="D538" s="61" t="s">
        <v>834</v>
      </c>
      <c r="E538" s="62" t="s">
        <v>1511</v>
      </c>
      <c r="F538" s="62" t="s">
        <v>213</v>
      </c>
      <c r="G538" s="61" t="s">
        <v>2637</v>
      </c>
      <c r="H538" s="61" t="s">
        <v>2638</v>
      </c>
      <c r="I538" s="61" t="s">
        <v>1506</v>
      </c>
      <c r="J538" s="61"/>
      <c r="K538" s="61"/>
    </row>
    <row r="539" customFormat="false" ht="61.5" hidden="false" customHeight="true" outlineLevel="0" collapsed="false">
      <c r="A539" s="66" t="s">
        <v>2438</v>
      </c>
      <c r="B539" s="60" t="s">
        <v>833</v>
      </c>
      <c r="C539" s="61" t="s">
        <v>815</v>
      </c>
      <c r="D539" s="61" t="s">
        <v>834</v>
      </c>
      <c r="E539" s="62" t="s">
        <v>1511</v>
      </c>
      <c r="F539" s="62" t="s">
        <v>214</v>
      </c>
      <c r="G539" s="61" t="s">
        <v>2639</v>
      </c>
      <c r="H539" s="61" t="s">
        <v>2640</v>
      </c>
      <c r="I539" s="61" t="s">
        <v>1506</v>
      </c>
      <c r="J539" s="61"/>
      <c r="K539" s="61"/>
    </row>
    <row r="540" customFormat="false" ht="61.5" hidden="false" customHeight="true" outlineLevel="0" collapsed="false">
      <c r="A540" s="66" t="s">
        <v>2438</v>
      </c>
      <c r="B540" s="60" t="s">
        <v>833</v>
      </c>
      <c r="C540" s="61" t="s">
        <v>815</v>
      </c>
      <c r="D540" s="61" t="s">
        <v>834</v>
      </c>
      <c r="E540" s="62" t="s">
        <v>1511</v>
      </c>
      <c r="F540" s="63" t="s">
        <v>215</v>
      </c>
      <c r="G540" s="61" t="s">
        <v>2641</v>
      </c>
      <c r="H540" s="61" t="s">
        <v>2642</v>
      </c>
      <c r="I540" s="61" t="s">
        <v>1506</v>
      </c>
      <c r="J540" s="61"/>
      <c r="K540" s="61"/>
    </row>
    <row r="541" customFormat="false" ht="77.25" hidden="false" customHeight="true" outlineLevel="0" collapsed="false">
      <c r="A541" s="66" t="s">
        <v>2438</v>
      </c>
      <c r="B541" s="60" t="s">
        <v>842</v>
      </c>
      <c r="C541" s="61" t="s">
        <v>843</v>
      </c>
      <c r="D541" s="61" t="s">
        <v>844</v>
      </c>
      <c r="E541" s="62" t="s">
        <v>1498</v>
      </c>
      <c r="F541" s="62" t="s">
        <v>1499</v>
      </c>
      <c r="G541" s="61" t="s">
        <v>2643</v>
      </c>
      <c r="H541" s="61" t="s">
        <v>2644</v>
      </c>
      <c r="I541" s="61" t="s">
        <v>1398</v>
      </c>
      <c r="J541" s="61" t="s">
        <v>2645</v>
      </c>
      <c r="K541" s="61" t="s">
        <v>1503</v>
      </c>
    </row>
    <row r="542" customFormat="false" ht="77.25" hidden="false" customHeight="true" outlineLevel="0" collapsed="false">
      <c r="A542" s="66" t="s">
        <v>2438</v>
      </c>
      <c r="B542" s="60" t="s">
        <v>842</v>
      </c>
      <c r="C542" s="61" t="s">
        <v>843</v>
      </c>
      <c r="D542" s="61" t="s">
        <v>844</v>
      </c>
      <c r="E542" s="62" t="s">
        <v>1498</v>
      </c>
      <c r="F542" s="62" t="s">
        <v>209</v>
      </c>
      <c r="G542" s="61" t="s">
        <v>2646</v>
      </c>
      <c r="H542" s="61" t="s">
        <v>2647</v>
      </c>
      <c r="I542" s="61" t="s">
        <v>1506</v>
      </c>
      <c r="J542" s="61"/>
      <c r="K542" s="61"/>
    </row>
    <row r="543" customFormat="false" ht="77.25" hidden="false" customHeight="true" outlineLevel="0" collapsed="false">
      <c r="A543" s="66" t="s">
        <v>2438</v>
      </c>
      <c r="B543" s="60" t="s">
        <v>842</v>
      </c>
      <c r="C543" s="61" t="s">
        <v>843</v>
      </c>
      <c r="D543" s="61" t="s">
        <v>844</v>
      </c>
      <c r="E543" s="62" t="s">
        <v>1498</v>
      </c>
      <c r="F543" s="62" t="s">
        <v>210</v>
      </c>
      <c r="G543" s="61" t="s">
        <v>2648</v>
      </c>
      <c r="H543" s="61" t="s">
        <v>2649</v>
      </c>
      <c r="I543" s="61" t="s">
        <v>1506</v>
      </c>
      <c r="J543" s="61"/>
      <c r="K543" s="61"/>
    </row>
    <row r="544" customFormat="false" ht="77.25" hidden="false" customHeight="true" outlineLevel="0" collapsed="false">
      <c r="A544" s="66" t="s">
        <v>2438</v>
      </c>
      <c r="B544" s="60" t="s">
        <v>842</v>
      </c>
      <c r="C544" s="61" t="s">
        <v>843</v>
      </c>
      <c r="D544" s="61" t="s">
        <v>844</v>
      </c>
      <c r="E544" s="62" t="s">
        <v>1498</v>
      </c>
      <c r="F544" s="62" t="s">
        <v>211</v>
      </c>
      <c r="G544" s="61" t="s">
        <v>2650</v>
      </c>
      <c r="H544" s="61" t="s">
        <v>2651</v>
      </c>
      <c r="I544" s="61" t="s">
        <v>1506</v>
      </c>
      <c r="J544" s="61"/>
      <c r="K544" s="61"/>
    </row>
    <row r="545" customFormat="false" ht="77.25" hidden="false" customHeight="true" outlineLevel="0" collapsed="false">
      <c r="A545" s="66" t="s">
        <v>2438</v>
      </c>
      <c r="B545" s="60" t="s">
        <v>842</v>
      </c>
      <c r="C545" s="61" t="s">
        <v>843</v>
      </c>
      <c r="D545" s="61" t="s">
        <v>844</v>
      </c>
      <c r="E545" s="62" t="s">
        <v>1511</v>
      </c>
      <c r="F545" s="62" t="s">
        <v>1512</v>
      </c>
      <c r="G545" s="61" t="s">
        <v>2652</v>
      </c>
      <c r="H545" s="61" t="s">
        <v>2653</v>
      </c>
      <c r="I545" s="61" t="s">
        <v>1506</v>
      </c>
      <c r="J545" s="61"/>
      <c r="K545" s="61"/>
    </row>
    <row r="546" customFormat="false" ht="77.25" hidden="false" customHeight="true" outlineLevel="0" collapsed="false">
      <c r="A546" s="66" t="s">
        <v>2438</v>
      </c>
      <c r="B546" s="60" t="s">
        <v>842</v>
      </c>
      <c r="C546" s="61" t="s">
        <v>843</v>
      </c>
      <c r="D546" s="61" t="s">
        <v>844</v>
      </c>
      <c r="E546" s="62" t="s">
        <v>1511</v>
      </c>
      <c r="F546" s="62" t="s">
        <v>213</v>
      </c>
      <c r="G546" s="61" t="s">
        <v>2654</v>
      </c>
      <c r="H546" s="61" t="s">
        <v>2655</v>
      </c>
      <c r="I546" s="61" t="s">
        <v>1506</v>
      </c>
      <c r="J546" s="61"/>
      <c r="K546" s="61"/>
    </row>
    <row r="547" customFormat="false" ht="77.25" hidden="false" customHeight="true" outlineLevel="0" collapsed="false">
      <c r="A547" s="66" t="s">
        <v>2438</v>
      </c>
      <c r="B547" s="60" t="s">
        <v>842</v>
      </c>
      <c r="C547" s="61" t="s">
        <v>843</v>
      </c>
      <c r="D547" s="61" t="s">
        <v>844</v>
      </c>
      <c r="E547" s="62" t="s">
        <v>1511</v>
      </c>
      <c r="F547" s="62" t="s">
        <v>214</v>
      </c>
      <c r="G547" s="61" t="s">
        <v>2656</v>
      </c>
      <c r="H547" s="61" t="s">
        <v>2657</v>
      </c>
      <c r="I547" s="61" t="s">
        <v>1506</v>
      </c>
      <c r="J547" s="61"/>
      <c r="K547" s="61"/>
    </row>
    <row r="548" customFormat="false" ht="77.25" hidden="false" customHeight="true" outlineLevel="0" collapsed="false">
      <c r="A548" s="66" t="s">
        <v>2438</v>
      </c>
      <c r="B548" s="60" t="s">
        <v>842</v>
      </c>
      <c r="C548" s="61" t="s">
        <v>843</v>
      </c>
      <c r="D548" s="61" t="s">
        <v>844</v>
      </c>
      <c r="E548" s="62" t="s">
        <v>1511</v>
      </c>
      <c r="F548" s="63" t="s">
        <v>215</v>
      </c>
      <c r="G548" s="61" t="s">
        <v>2658</v>
      </c>
      <c r="H548" s="61" t="s">
        <v>2659</v>
      </c>
      <c r="I548" s="61" t="s">
        <v>1506</v>
      </c>
      <c r="J548" s="61"/>
      <c r="K548" s="61"/>
    </row>
    <row r="549" customFormat="false" ht="77.25" hidden="false" customHeight="true" outlineLevel="0" collapsed="false">
      <c r="A549" s="66" t="s">
        <v>2438</v>
      </c>
      <c r="B549" s="60" t="s">
        <v>852</v>
      </c>
      <c r="C549" s="61" t="s">
        <v>843</v>
      </c>
      <c r="D549" s="61" t="s">
        <v>853</v>
      </c>
      <c r="E549" s="62" t="s">
        <v>1498</v>
      </c>
      <c r="F549" s="62" t="s">
        <v>1499</v>
      </c>
      <c r="G549" s="61" t="s">
        <v>2660</v>
      </c>
      <c r="H549" s="61" t="s">
        <v>2661</v>
      </c>
      <c r="I549" s="61" t="s">
        <v>1404</v>
      </c>
      <c r="J549" s="61" t="s">
        <v>2662</v>
      </c>
      <c r="K549" s="61" t="s">
        <v>1503</v>
      </c>
    </row>
    <row r="550" customFormat="false" ht="77.25" hidden="false" customHeight="true" outlineLevel="0" collapsed="false">
      <c r="A550" s="66" t="s">
        <v>2438</v>
      </c>
      <c r="B550" s="60" t="s">
        <v>852</v>
      </c>
      <c r="C550" s="61" t="s">
        <v>843</v>
      </c>
      <c r="D550" s="61" t="s">
        <v>853</v>
      </c>
      <c r="E550" s="62" t="s">
        <v>1498</v>
      </c>
      <c r="F550" s="62" t="s">
        <v>209</v>
      </c>
      <c r="G550" s="61" t="s">
        <v>2663</v>
      </c>
      <c r="H550" s="61" t="s">
        <v>2664</v>
      </c>
      <c r="I550" s="61" t="s">
        <v>1506</v>
      </c>
      <c r="J550" s="61"/>
      <c r="K550" s="61"/>
    </row>
    <row r="551" customFormat="false" ht="77.25" hidden="false" customHeight="true" outlineLevel="0" collapsed="false">
      <c r="A551" s="66" t="s">
        <v>2438</v>
      </c>
      <c r="B551" s="60" t="s">
        <v>852</v>
      </c>
      <c r="C551" s="61" t="s">
        <v>843</v>
      </c>
      <c r="D551" s="61" t="s">
        <v>853</v>
      </c>
      <c r="E551" s="62" t="s">
        <v>1498</v>
      </c>
      <c r="F551" s="62" t="s">
        <v>210</v>
      </c>
      <c r="G551" s="61" t="s">
        <v>2665</v>
      </c>
      <c r="H551" s="61" t="s">
        <v>2666</v>
      </c>
      <c r="I551" s="61" t="s">
        <v>1506</v>
      </c>
      <c r="J551" s="61"/>
      <c r="K551" s="61"/>
    </row>
    <row r="552" customFormat="false" ht="77.25" hidden="false" customHeight="true" outlineLevel="0" collapsed="false">
      <c r="A552" s="66" t="s">
        <v>2438</v>
      </c>
      <c r="B552" s="60" t="s">
        <v>852</v>
      </c>
      <c r="C552" s="61" t="s">
        <v>843</v>
      </c>
      <c r="D552" s="61" t="s">
        <v>853</v>
      </c>
      <c r="E552" s="62" t="s">
        <v>1498</v>
      </c>
      <c r="F552" s="62" t="s">
        <v>211</v>
      </c>
      <c r="G552" s="61" t="s">
        <v>2667</v>
      </c>
      <c r="H552" s="61" t="s">
        <v>2668</v>
      </c>
      <c r="I552" s="61" t="s">
        <v>1506</v>
      </c>
      <c r="J552" s="61"/>
      <c r="K552" s="61"/>
    </row>
    <row r="553" customFormat="false" ht="77.25" hidden="false" customHeight="true" outlineLevel="0" collapsed="false">
      <c r="A553" s="66" t="s">
        <v>2438</v>
      </c>
      <c r="B553" s="60" t="s">
        <v>852</v>
      </c>
      <c r="C553" s="61" t="s">
        <v>843</v>
      </c>
      <c r="D553" s="61" t="s">
        <v>853</v>
      </c>
      <c r="E553" s="62" t="s">
        <v>1511</v>
      </c>
      <c r="F553" s="62" t="s">
        <v>1512</v>
      </c>
      <c r="G553" s="61" t="s">
        <v>2669</v>
      </c>
      <c r="H553" s="61" t="s">
        <v>2670</v>
      </c>
      <c r="I553" s="61" t="s">
        <v>1506</v>
      </c>
      <c r="J553" s="61"/>
      <c r="K553" s="61"/>
    </row>
    <row r="554" customFormat="false" ht="77.25" hidden="false" customHeight="true" outlineLevel="0" collapsed="false">
      <c r="A554" s="66" t="s">
        <v>2438</v>
      </c>
      <c r="B554" s="60" t="s">
        <v>852</v>
      </c>
      <c r="C554" s="61" t="s">
        <v>843</v>
      </c>
      <c r="D554" s="61" t="s">
        <v>853</v>
      </c>
      <c r="E554" s="62" t="s">
        <v>1511</v>
      </c>
      <c r="F554" s="62" t="s">
        <v>213</v>
      </c>
      <c r="G554" s="61" t="s">
        <v>2671</v>
      </c>
      <c r="H554" s="61" t="s">
        <v>2672</v>
      </c>
      <c r="I554" s="61" t="s">
        <v>1506</v>
      </c>
      <c r="J554" s="61"/>
      <c r="K554" s="61"/>
    </row>
    <row r="555" customFormat="false" ht="77.25" hidden="false" customHeight="true" outlineLevel="0" collapsed="false">
      <c r="A555" s="66" t="s">
        <v>2438</v>
      </c>
      <c r="B555" s="60" t="s">
        <v>852</v>
      </c>
      <c r="C555" s="61" t="s">
        <v>843</v>
      </c>
      <c r="D555" s="61" t="s">
        <v>853</v>
      </c>
      <c r="E555" s="62" t="s">
        <v>1511</v>
      </c>
      <c r="F555" s="62" t="s">
        <v>214</v>
      </c>
      <c r="G555" s="61" t="s">
        <v>2673</v>
      </c>
      <c r="H555" s="61" t="s">
        <v>2674</v>
      </c>
      <c r="I555" s="61" t="s">
        <v>1506</v>
      </c>
      <c r="J555" s="61"/>
      <c r="K555" s="61"/>
    </row>
    <row r="556" customFormat="false" ht="77.25" hidden="false" customHeight="true" outlineLevel="0" collapsed="false">
      <c r="A556" s="66" t="s">
        <v>2438</v>
      </c>
      <c r="B556" s="60" t="s">
        <v>852</v>
      </c>
      <c r="C556" s="61" t="s">
        <v>843</v>
      </c>
      <c r="D556" s="61" t="s">
        <v>853</v>
      </c>
      <c r="E556" s="62" t="s">
        <v>1511</v>
      </c>
      <c r="F556" s="63" t="s">
        <v>215</v>
      </c>
      <c r="G556" s="61" t="s">
        <v>2675</v>
      </c>
      <c r="H556" s="61" t="s">
        <v>2676</v>
      </c>
      <c r="I556" s="61" t="s">
        <v>1506</v>
      </c>
      <c r="J556" s="61"/>
      <c r="K556" s="61"/>
    </row>
    <row r="557" customFormat="false" ht="93" hidden="false" customHeight="true" outlineLevel="0" collapsed="false">
      <c r="A557" s="66" t="s">
        <v>2438</v>
      </c>
      <c r="B557" s="60" t="s">
        <v>861</v>
      </c>
      <c r="C557" s="61" t="s">
        <v>862</v>
      </c>
      <c r="D557" s="61" t="s">
        <v>863</v>
      </c>
      <c r="E557" s="62" t="s">
        <v>1498</v>
      </c>
      <c r="F557" s="62" t="s">
        <v>1499</v>
      </c>
      <c r="G557" s="61" t="s">
        <v>2677</v>
      </c>
      <c r="H557" s="61" t="s">
        <v>2678</v>
      </c>
      <c r="I557" s="61" t="s">
        <v>1410</v>
      </c>
      <c r="J557" s="61" t="s">
        <v>2679</v>
      </c>
      <c r="K557" s="61" t="s">
        <v>1503</v>
      </c>
    </row>
    <row r="558" customFormat="false" ht="93" hidden="false" customHeight="true" outlineLevel="0" collapsed="false">
      <c r="A558" s="66" t="s">
        <v>2438</v>
      </c>
      <c r="B558" s="60" t="s">
        <v>861</v>
      </c>
      <c r="C558" s="61" t="s">
        <v>862</v>
      </c>
      <c r="D558" s="61" t="s">
        <v>863</v>
      </c>
      <c r="E558" s="62" t="s">
        <v>1498</v>
      </c>
      <c r="F558" s="62" t="s">
        <v>209</v>
      </c>
      <c r="G558" s="61" t="s">
        <v>2680</v>
      </c>
      <c r="H558" s="61" t="s">
        <v>2681</v>
      </c>
      <c r="I558" s="61" t="s">
        <v>1506</v>
      </c>
      <c r="J558" s="61"/>
      <c r="K558" s="61"/>
    </row>
    <row r="559" customFormat="false" ht="93" hidden="false" customHeight="true" outlineLevel="0" collapsed="false">
      <c r="A559" s="66" t="s">
        <v>2438</v>
      </c>
      <c r="B559" s="60" t="s">
        <v>861</v>
      </c>
      <c r="C559" s="61" t="s">
        <v>862</v>
      </c>
      <c r="D559" s="61" t="s">
        <v>863</v>
      </c>
      <c r="E559" s="62" t="s">
        <v>1498</v>
      </c>
      <c r="F559" s="62" t="s">
        <v>210</v>
      </c>
      <c r="G559" s="61" t="s">
        <v>2682</v>
      </c>
      <c r="H559" s="61" t="s">
        <v>2683</v>
      </c>
      <c r="I559" s="61" t="s">
        <v>1506</v>
      </c>
      <c r="J559" s="61"/>
      <c r="K559" s="61"/>
    </row>
    <row r="560" customFormat="false" ht="93" hidden="false" customHeight="true" outlineLevel="0" collapsed="false">
      <c r="A560" s="66" t="s">
        <v>2438</v>
      </c>
      <c r="B560" s="60" t="s">
        <v>861</v>
      </c>
      <c r="C560" s="61" t="s">
        <v>862</v>
      </c>
      <c r="D560" s="61" t="s">
        <v>863</v>
      </c>
      <c r="E560" s="62" t="s">
        <v>1498</v>
      </c>
      <c r="F560" s="62" t="s">
        <v>211</v>
      </c>
      <c r="G560" s="61" t="s">
        <v>2684</v>
      </c>
      <c r="H560" s="61" t="s">
        <v>2685</v>
      </c>
      <c r="I560" s="61" t="s">
        <v>1506</v>
      </c>
      <c r="J560" s="61"/>
      <c r="K560" s="61"/>
    </row>
    <row r="561" customFormat="false" ht="93" hidden="false" customHeight="true" outlineLevel="0" collapsed="false">
      <c r="A561" s="66" t="s">
        <v>2438</v>
      </c>
      <c r="B561" s="60" t="s">
        <v>861</v>
      </c>
      <c r="C561" s="61" t="s">
        <v>862</v>
      </c>
      <c r="D561" s="61" t="s">
        <v>863</v>
      </c>
      <c r="E561" s="62" t="s">
        <v>1511</v>
      </c>
      <c r="F561" s="62" t="s">
        <v>1512</v>
      </c>
      <c r="G561" s="61" t="s">
        <v>2686</v>
      </c>
      <c r="H561" s="61" t="s">
        <v>2687</v>
      </c>
      <c r="I561" s="61" t="s">
        <v>1506</v>
      </c>
      <c r="J561" s="61"/>
      <c r="K561" s="61"/>
    </row>
    <row r="562" customFormat="false" ht="93" hidden="false" customHeight="true" outlineLevel="0" collapsed="false">
      <c r="A562" s="66" t="s">
        <v>2438</v>
      </c>
      <c r="B562" s="60" t="s">
        <v>861</v>
      </c>
      <c r="C562" s="61" t="s">
        <v>862</v>
      </c>
      <c r="D562" s="61" t="s">
        <v>863</v>
      </c>
      <c r="E562" s="62" t="s">
        <v>1511</v>
      </c>
      <c r="F562" s="62" t="s">
        <v>213</v>
      </c>
      <c r="G562" s="61" t="s">
        <v>2688</v>
      </c>
      <c r="H562" s="61" t="s">
        <v>2689</v>
      </c>
      <c r="I562" s="61" t="s">
        <v>1506</v>
      </c>
      <c r="J562" s="61"/>
      <c r="K562" s="61"/>
    </row>
    <row r="563" customFormat="false" ht="93" hidden="false" customHeight="true" outlineLevel="0" collapsed="false">
      <c r="A563" s="66" t="s">
        <v>2438</v>
      </c>
      <c r="B563" s="60" t="s">
        <v>861</v>
      </c>
      <c r="C563" s="61" t="s">
        <v>862</v>
      </c>
      <c r="D563" s="61" t="s">
        <v>863</v>
      </c>
      <c r="E563" s="62" t="s">
        <v>1511</v>
      </c>
      <c r="F563" s="62" t="s">
        <v>214</v>
      </c>
      <c r="G563" s="61" t="s">
        <v>2690</v>
      </c>
      <c r="H563" s="61" t="s">
        <v>2691</v>
      </c>
      <c r="I563" s="61" t="s">
        <v>1506</v>
      </c>
      <c r="J563" s="61"/>
      <c r="K563" s="61"/>
    </row>
    <row r="564" customFormat="false" ht="108" hidden="false" customHeight="true" outlineLevel="0" collapsed="false">
      <c r="A564" s="66" t="s">
        <v>2438</v>
      </c>
      <c r="B564" s="60" t="s">
        <v>861</v>
      </c>
      <c r="C564" s="61" t="s">
        <v>862</v>
      </c>
      <c r="D564" s="61" t="s">
        <v>863</v>
      </c>
      <c r="E564" s="62" t="s">
        <v>1511</v>
      </c>
      <c r="F564" s="63" t="s">
        <v>215</v>
      </c>
      <c r="G564" s="61" t="s">
        <v>2692</v>
      </c>
      <c r="H564" s="61" t="s">
        <v>2693</v>
      </c>
      <c r="I564" s="61" t="s">
        <v>1506</v>
      </c>
      <c r="J564" s="61"/>
      <c r="K564" s="61"/>
    </row>
    <row r="565" customFormat="false" ht="93" hidden="false" customHeight="true" outlineLevel="0" collapsed="false">
      <c r="A565" s="66" t="s">
        <v>2438</v>
      </c>
      <c r="B565" s="60" t="s">
        <v>871</v>
      </c>
      <c r="C565" s="61" t="s">
        <v>862</v>
      </c>
      <c r="D565" s="61" t="s">
        <v>872</v>
      </c>
      <c r="E565" s="62" t="s">
        <v>1498</v>
      </c>
      <c r="F565" s="62" t="s">
        <v>1499</v>
      </c>
      <c r="G565" s="61" t="s">
        <v>2694</v>
      </c>
      <c r="H565" s="61" t="s">
        <v>2695</v>
      </c>
      <c r="I565" s="61" t="s">
        <v>1416</v>
      </c>
      <c r="J565" s="61" t="s">
        <v>2696</v>
      </c>
      <c r="K565" s="61" t="s">
        <v>1503</v>
      </c>
    </row>
    <row r="566" customFormat="false" ht="93" hidden="false" customHeight="true" outlineLevel="0" collapsed="false">
      <c r="A566" s="66" t="s">
        <v>2438</v>
      </c>
      <c r="B566" s="60" t="s">
        <v>871</v>
      </c>
      <c r="C566" s="61" t="s">
        <v>862</v>
      </c>
      <c r="D566" s="61" t="s">
        <v>872</v>
      </c>
      <c r="E566" s="62" t="s">
        <v>1498</v>
      </c>
      <c r="F566" s="62" t="s">
        <v>209</v>
      </c>
      <c r="G566" s="61" t="s">
        <v>2697</v>
      </c>
      <c r="H566" s="61" t="s">
        <v>2698</v>
      </c>
      <c r="I566" s="61" t="s">
        <v>1506</v>
      </c>
      <c r="J566" s="61"/>
      <c r="K566" s="61"/>
    </row>
    <row r="567" customFormat="false" ht="93" hidden="false" customHeight="true" outlineLevel="0" collapsed="false">
      <c r="A567" s="66" t="s">
        <v>2438</v>
      </c>
      <c r="B567" s="60" t="s">
        <v>871</v>
      </c>
      <c r="C567" s="61" t="s">
        <v>862</v>
      </c>
      <c r="D567" s="61" t="s">
        <v>872</v>
      </c>
      <c r="E567" s="62" t="s">
        <v>1498</v>
      </c>
      <c r="F567" s="62" t="s">
        <v>210</v>
      </c>
      <c r="G567" s="61" t="s">
        <v>2699</v>
      </c>
      <c r="H567" s="61" t="s">
        <v>2700</v>
      </c>
      <c r="I567" s="61" t="s">
        <v>1506</v>
      </c>
      <c r="J567" s="61"/>
      <c r="K567" s="61"/>
    </row>
    <row r="568" customFormat="false" ht="93" hidden="false" customHeight="true" outlineLevel="0" collapsed="false">
      <c r="A568" s="66" t="s">
        <v>2438</v>
      </c>
      <c r="B568" s="60" t="s">
        <v>871</v>
      </c>
      <c r="C568" s="61" t="s">
        <v>862</v>
      </c>
      <c r="D568" s="61" t="s">
        <v>872</v>
      </c>
      <c r="E568" s="62" t="s">
        <v>1498</v>
      </c>
      <c r="F568" s="62" t="s">
        <v>211</v>
      </c>
      <c r="G568" s="61" t="s">
        <v>2701</v>
      </c>
      <c r="H568" s="61" t="s">
        <v>2702</v>
      </c>
      <c r="I568" s="61" t="s">
        <v>1506</v>
      </c>
      <c r="J568" s="61"/>
      <c r="K568" s="61"/>
    </row>
    <row r="569" customFormat="false" ht="93" hidden="false" customHeight="true" outlineLevel="0" collapsed="false">
      <c r="A569" s="66" t="s">
        <v>2438</v>
      </c>
      <c r="B569" s="60" t="s">
        <v>871</v>
      </c>
      <c r="C569" s="61" t="s">
        <v>862</v>
      </c>
      <c r="D569" s="61" t="s">
        <v>872</v>
      </c>
      <c r="E569" s="62" t="s">
        <v>1511</v>
      </c>
      <c r="F569" s="62" t="s">
        <v>1512</v>
      </c>
      <c r="G569" s="61" t="s">
        <v>2703</v>
      </c>
      <c r="H569" s="61" t="s">
        <v>2704</v>
      </c>
      <c r="I569" s="61" t="s">
        <v>1506</v>
      </c>
      <c r="J569" s="61"/>
      <c r="K569" s="61"/>
    </row>
    <row r="570" customFormat="false" ht="93" hidden="false" customHeight="true" outlineLevel="0" collapsed="false">
      <c r="A570" s="66" t="s">
        <v>2438</v>
      </c>
      <c r="B570" s="60" t="s">
        <v>871</v>
      </c>
      <c r="C570" s="61" t="s">
        <v>862</v>
      </c>
      <c r="D570" s="61" t="s">
        <v>872</v>
      </c>
      <c r="E570" s="62" t="s">
        <v>1511</v>
      </c>
      <c r="F570" s="62" t="s">
        <v>213</v>
      </c>
      <c r="G570" s="61" t="s">
        <v>2705</v>
      </c>
      <c r="H570" s="61" t="s">
        <v>2706</v>
      </c>
      <c r="I570" s="61" t="s">
        <v>1506</v>
      </c>
      <c r="J570" s="61"/>
      <c r="K570" s="61"/>
    </row>
    <row r="571" customFormat="false" ht="93" hidden="false" customHeight="true" outlineLevel="0" collapsed="false">
      <c r="A571" s="66" t="s">
        <v>2438</v>
      </c>
      <c r="B571" s="60" t="s">
        <v>871</v>
      </c>
      <c r="C571" s="61" t="s">
        <v>862</v>
      </c>
      <c r="D571" s="61" t="s">
        <v>872</v>
      </c>
      <c r="E571" s="62" t="s">
        <v>1511</v>
      </c>
      <c r="F571" s="62" t="s">
        <v>214</v>
      </c>
      <c r="G571" s="61" t="s">
        <v>2707</v>
      </c>
      <c r="H571" s="61" t="s">
        <v>2708</v>
      </c>
      <c r="I571" s="61" t="s">
        <v>1506</v>
      </c>
      <c r="J571" s="61"/>
      <c r="K571" s="61"/>
    </row>
    <row r="572" customFormat="false" ht="93" hidden="false" customHeight="true" outlineLevel="0" collapsed="false">
      <c r="A572" s="66" t="s">
        <v>2438</v>
      </c>
      <c r="B572" s="60" t="s">
        <v>871</v>
      </c>
      <c r="C572" s="61" t="s">
        <v>862</v>
      </c>
      <c r="D572" s="61" t="s">
        <v>872</v>
      </c>
      <c r="E572" s="62" t="s">
        <v>1511</v>
      </c>
      <c r="F572" s="63" t="s">
        <v>215</v>
      </c>
      <c r="G572" s="61" t="s">
        <v>2709</v>
      </c>
      <c r="H572" s="61" t="s">
        <v>2710</v>
      </c>
      <c r="I572" s="61" t="s">
        <v>1506</v>
      </c>
      <c r="J572" s="61"/>
      <c r="K572" s="61"/>
    </row>
    <row r="573" customFormat="false" ht="108" hidden="false" customHeight="true" outlineLevel="0" collapsed="false">
      <c r="A573" s="67" t="s">
        <v>2711</v>
      </c>
      <c r="B573" s="60" t="s">
        <v>880</v>
      </c>
      <c r="C573" s="61" t="s">
        <v>881</v>
      </c>
      <c r="D573" s="61" t="s">
        <v>882</v>
      </c>
      <c r="E573" s="62" t="s">
        <v>1498</v>
      </c>
      <c r="F573" s="62" t="s">
        <v>1499</v>
      </c>
      <c r="G573" s="61" t="s">
        <v>2712</v>
      </c>
      <c r="H573" s="61" t="s">
        <v>2713</v>
      </c>
      <c r="I573" s="61" t="s">
        <v>1422</v>
      </c>
      <c r="J573" s="61" t="s">
        <v>2714</v>
      </c>
      <c r="K573" s="61" t="s">
        <v>1503</v>
      </c>
    </row>
    <row r="574" customFormat="false" ht="108" hidden="false" customHeight="true" outlineLevel="0" collapsed="false">
      <c r="A574" s="67" t="s">
        <v>2711</v>
      </c>
      <c r="B574" s="60" t="s">
        <v>880</v>
      </c>
      <c r="C574" s="61" t="s">
        <v>881</v>
      </c>
      <c r="D574" s="61" t="s">
        <v>882</v>
      </c>
      <c r="E574" s="62" t="s">
        <v>1498</v>
      </c>
      <c r="F574" s="62" t="s">
        <v>209</v>
      </c>
      <c r="G574" s="61" t="s">
        <v>2715</v>
      </c>
      <c r="H574" s="61" t="s">
        <v>2716</v>
      </c>
      <c r="I574" s="61" t="s">
        <v>1506</v>
      </c>
      <c r="J574" s="61"/>
      <c r="K574" s="61"/>
    </row>
    <row r="575" customFormat="false" ht="108" hidden="false" customHeight="true" outlineLevel="0" collapsed="false">
      <c r="A575" s="67" t="s">
        <v>2711</v>
      </c>
      <c r="B575" s="60" t="s">
        <v>880</v>
      </c>
      <c r="C575" s="61" t="s">
        <v>881</v>
      </c>
      <c r="D575" s="61" t="s">
        <v>882</v>
      </c>
      <c r="E575" s="62" t="s">
        <v>1498</v>
      </c>
      <c r="F575" s="62" t="s">
        <v>210</v>
      </c>
      <c r="G575" s="61" t="s">
        <v>2717</v>
      </c>
      <c r="H575" s="61" t="s">
        <v>2718</v>
      </c>
      <c r="I575" s="61" t="s">
        <v>1506</v>
      </c>
      <c r="J575" s="61"/>
      <c r="K575" s="61"/>
    </row>
    <row r="576" customFormat="false" ht="108" hidden="false" customHeight="true" outlineLevel="0" collapsed="false">
      <c r="A576" s="67" t="s">
        <v>2711</v>
      </c>
      <c r="B576" s="60" t="s">
        <v>880</v>
      </c>
      <c r="C576" s="61" t="s">
        <v>881</v>
      </c>
      <c r="D576" s="61" t="s">
        <v>882</v>
      </c>
      <c r="E576" s="62" t="s">
        <v>1498</v>
      </c>
      <c r="F576" s="62" t="s">
        <v>211</v>
      </c>
      <c r="G576" s="61" t="s">
        <v>2719</v>
      </c>
      <c r="H576" s="61" t="s">
        <v>2720</v>
      </c>
      <c r="I576" s="61" t="s">
        <v>1506</v>
      </c>
      <c r="J576" s="61"/>
      <c r="K576" s="61"/>
    </row>
    <row r="577" customFormat="false" ht="108" hidden="false" customHeight="true" outlineLevel="0" collapsed="false">
      <c r="A577" s="67" t="s">
        <v>2711</v>
      </c>
      <c r="B577" s="60" t="s">
        <v>880</v>
      </c>
      <c r="C577" s="61" t="s">
        <v>881</v>
      </c>
      <c r="D577" s="61" t="s">
        <v>882</v>
      </c>
      <c r="E577" s="62" t="s">
        <v>1511</v>
      </c>
      <c r="F577" s="62" t="s">
        <v>1512</v>
      </c>
      <c r="G577" s="61" t="s">
        <v>2721</v>
      </c>
      <c r="H577" s="61" t="s">
        <v>2722</v>
      </c>
      <c r="I577" s="61" t="s">
        <v>1506</v>
      </c>
      <c r="J577" s="61"/>
      <c r="K577" s="61"/>
    </row>
    <row r="578" customFormat="false" ht="108" hidden="false" customHeight="true" outlineLevel="0" collapsed="false">
      <c r="A578" s="67" t="s">
        <v>2711</v>
      </c>
      <c r="B578" s="60" t="s">
        <v>880</v>
      </c>
      <c r="C578" s="61" t="s">
        <v>881</v>
      </c>
      <c r="D578" s="61" t="s">
        <v>882</v>
      </c>
      <c r="E578" s="62" t="s">
        <v>1511</v>
      </c>
      <c r="F578" s="62" t="s">
        <v>213</v>
      </c>
      <c r="G578" s="61" t="s">
        <v>2723</v>
      </c>
      <c r="H578" s="61" t="s">
        <v>2724</v>
      </c>
      <c r="I578" s="61" t="s">
        <v>1506</v>
      </c>
      <c r="J578" s="61"/>
      <c r="K578" s="61"/>
    </row>
    <row r="579" customFormat="false" ht="108" hidden="false" customHeight="true" outlineLevel="0" collapsed="false">
      <c r="A579" s="67" t="s">
        <v>2711</v>
      </c>
      <c r="B579" s="60" t="s">
        <v>880</v>
      </c>
      <c r="C579" s="61" t="s">
        <v>881</v>
      </c>
      <c r="D579" s="61" t="s">
        <v>882</v>
      </c>
      <c r="E579" s="62" t="s">
        <v>1511</v>
      </c>
      <c r="F579" s="62" t="s">
        <v>214</v>
      </c>
      <c r="G579" s="61" t="s">
        <v>2725</v>
      </c>
      <c r="H579" s="61" t="s">
        <v>2726</v>
      </c>
      <c r="I579" s="61" t="s">
        <v>1506</v>
      </c>
      <c r="J579" s="61"/>
      <c r="K579" s="61"/>
    </row>
    <row r="580" customFormat="false" ht="123.75" hidden="false" customHeight="true" outlineLevel="0" collapsed="false">
      <c r="A580" s="67" t="s">
        <v>2711</v>
      </c>
      <c r="B580" s="60" t="s">
        <v>880</v>
      </c>
      <c r="C580" s="61" t="s">
        <v>881</v>
      </c>
      <c r="D580" s="61" t="s">
        <v>882</v>
      </c>
      <c r="E580" s="62" t="s">
        <v>1511</v>
      </c>
      <c r="F580" s="63" t="s">
        <v>215</v>
      </c>
      <c r="G580" s="61" t="s">
        <v>2727</v>
      </c>
      <c r="H580" s="61" t="s">
        <v>2728</v>
      </c>
      <c r="I580" s="61" t="s">
        <v>1506</v>
      </c>
      <c r="J580" s="61"/>
      <c r="K580" s="61"/>
    </row>
    <row r="581" customFormat="false" ht="77.25" hidden="false" customHeight="true" outlineLevel="0" collapsed="false">
      <c r="A581" s="67" t="s">
        <v>2711</v>
      </c>
      <c r="B581" s="60" t="s">
        <v>890</v>
      </c>
      <c r="C581" s="61" t="s">
        <v>891</v>
      </c>
      <c r="D581" s="61" t="s">
        <v>892</v>
      </c>
      <c r="E581" s="62" t="s">
        <v>1498</v>
      </c>
      <c r="F581" s="62" t="s">
        <v>1499</v>
      </c>
      <c r="G581" s="61" t="s">
        <v>2729</v>
      </c>
      <c r="H581" s="61" t="s">
        <v>2730</v>
      </c>
      <c r="I581" s="61" t="s">
        <v>1429</v>
      </c>
      <c r="J581" s="61" t="s">
        <v>2731</v>
      </c>
      <c r="K581" s="61" t="s">
        <v>1503</v>
      </c>
    </row>
    <row r="582" customFormat="false" ht="77.25" hidden="false" customHeight="true" outlineLevel="0" collapsed="false">
      <c r="A582" s="67" t="s">
        <v>2711</v>
      </c>
      <c r="B582" s="60" t="s">
        <v>890</v>
      </c>
      <c r="C582" s="61" t="s">
        <v>891</v>
      </c>
      <c r="D582" s="61" t="s">
        <v>892</v>
      </c>
      <c r="E582" s="62" t="s">
        <v>1498</v>
      </c>
      <c r="F582" s="62" t="s">
        <v>209</v>
      </c>
      <c r="G582" s="61" t="s">
        <v>2732</v>
      </c>
      <c r="H582" s="61" t="s">
        <v>2733</v>
      </c>
      <c r="I582" s="61" t="s">
        <v>1506</v>
      </c>
      <c r="J582" s="61"/>
      <c r="K582" s="61"/>
    </row>
    <row r="583" customFormat="false" ht="77.25" hidden="false" customHeight="true" outlineLevel="0" collapsed="false">
      <c r="A583" s="67" t="s">
        <v>2711</v>
      </c>
      <c r="B583" s="60" t="s">
        <v>890</v>
      </c>
      <c r="C583" s="61" t="s">
        <v>891</v>
      </c>
      <c r="D583" s="61" t="s">
        <v>892</v>
      </c>
      <c r="E583" s="62" t="s">
        <v>1498</v>
      </c>
      <c r="F583" s="62" t="s">
        <v>210</v>
      </c>
      <c r="G583" s="61" t="s">
        <v>2734</v>
      </c>
      <c r="H583" s="61" t="s">
        <v>2735</v>
      </c>
      <c r="I583" s="61" t="s">
        <v>1506</v>
      </c>
      <c r="J583" s="61"/>
      <c r="K583" s="61"/>
    </row>
    <row r="584" customFormat="false" ht="77.25" hidden="false" customHeight="true" outlineLevel="0" collapsed="false">
      <c r="A584" s="67" t="s">
        <v>2711</v>
      </c>
      <c r="B584" s="60" t="s">
        <v>890</v>
      </c>
      <c r="C584" s="61" t="s">
        <v>891</v>
      </c>
      <c r="D584" s="61" t="s">
        <v>892</v>
      </c>
      <c r="E584" s="62" t="s">
        <v>1498</v>
      </c>
      <c r="F584" s="62" t="s">
        <v>211</v>
      </c>
      <c r="G584" s="61" t="s">
        <v>2736</v>
      </c>
      <c r="H584" s="61" t="s">
        <v>2737</v>
      </c>
      <c r="I584" s="61" t="s">
        <v>1506</v>
      </c>
      <c r="J584" s="61"/>
      <c r="K584" s="61"/>
    </row>
    <row r="585" customFormat="false" ht="77.25" hidden="false" customHeight="true" outlineLevel="0" collapsed="false">
      <c r="A585" s="67" t="s">
        <v>2711</v>
      </c>
      <c r="B585" s="60" t="s">
        <v>890</v>
      </c>
      <c r="C585" s="61" t="s">
        <v>891</v>
      </c>
      <c r="D585" s="61" t="s">
        <v>892</v>
      </c>
      <c r="E585" s="62" t="s">
        <v>1511</v>
      </c>
      <c r="F585" s="62" t="s">
        <v>1512</v>
      </c>
      <c r="G585" s="61" t="s">
        <v>2738</v>
      </c>
      <c r="H585" s="61" t="s">
        <v>2739</v>
      </c>
      <c r="I585" s="61" t="s">
        <v>1506</v>
      </c>
      <c r="J585" s="61"/>
      <c r="K585" s="61"/>
    </row>
    <row r="586" customFormat="false" ht="77.25" hidden="false" customHeight="true" outlineLevel="0" collapsed="false">
      <c r="A586" s="67" t="s">
        <v>2711</v>
      </c>
      <c r="B586" s="60" t="s">
        <v>890</v>
      </c>
      <c r="C586" s="61" t="s">
        <v>891</v>
      </c>
      <c r="D586" s="61" t="s">
        <v>892</v>
      </c>
      <c r="E586" s="62" t="s">
        <v>1511</v>
      </c>
      <c r="F586" s="62" t="s">
        <v>213</v>
      </c>
      <c r="G586" s="61" t="s">
        <v>2740</v>
      </c>
      <c r="H586" s="61" t="s">
        <v>2741</v>
      </c>
      <c r="I586" s="61" t="s">
        <v>1506</v>
      </c>
      <c r="J586" s="61"/>
      <c r="K586" s="61"/>
    </row>
    <row r="587" customFormat="false" ht="77.25" hidden="false" customHeight="true" outlineLevel="0" collapsed="false">
      <c r="A587" s="67" t="s">
        <v>2711</v>
      </c>
      <c r="B587" s="60" t="s">
        <v>890</v>
      </c>
      <c r="C587" s="61" t="s">
        <v>891</v>
      </c>
      <c r="D587" s="61" t="s">
        <v>892</v>
      </c>
      <c r="E587" s="62" t="s">
        <v>1511</v>
      </c>
      <c r="F587" s="62" t="s">
        <v>214</v>
      </c>
      <c r="G587" s="61" t="s">
        <v>2742</v>
      </c>
      <c r="H587" s="61" t="s">
        <v>2743</v>
      </c>
      <c r="I587" s="61" t="s">
        <v>1506</v>
      </c>
      <c r="J587" s="61"/>
      <c r="K587" s="61"/>
    </row>
    <row r="588" customFormat="false" ht="77.25" hidden="false" customHeight="true" outlineLevel="0" collapsed="false">
      <c r="A588" s="67" t="s">
        <v>2711</v>
      </c>
      <c r="B588" s="60" t="s">
        <v>890</v>
      </c>
      <c r="C588" s="61" t="s">
        <v>891</v>
      </c>
      <c r="D588" s="61" t="s">
        <v>892</v>
      </c>
      <c r="E588" s="62" t="s">
        <v>1511</v>
      </c>
      <c r="F588" s="63" t="s">
        <v>215</v>
      </c>
      <c r="G588" s="61" t="s">
        <v>2744</v>
      </c>
      <c r="H588" s="61" t="s">
        <v>2745</v>
      </c>
      <c r="I588" s="61" t="s">
        <v>1506</v>
      </c>
      <c r="J588" s="61"/>
      <c r="K588" s="61"/>
    </row>
    <row r="589" customFormat="false" ht="77.25" hidden="false" customHeight="true" outlineLevel="0" collapsed="false">
      <c r="A589" s="67" t="s">
        <v>2711</v>
      </c>
      <c r="B589" s="60" t="s">
        <v>900</v>
      </c>
      <c r="C589" s="61" t="s">
        <v>891</v>
      </c>
      <c r="D589" s="61" t="s">
        <v>901</v>
      </c>
      <c r="E589" s="62" t="s">
        <v>1498</v>
      </c>
      <c r="F589" s="62" t="s">
        <v>1499</v>
      </c>
      <c r="G589" s="61" t="s">
        <v>2746</v>
      </c>
      <c r="H589" s="61" t="s">
        <v>2747</v>
      </c>
      <c r="I589" s="61" t="s">
        <v>1435</v>
      </c>
      <c r="J589" s="61" t="s">
        <v>2748</v>
      </c>
      <c r="K589" s="61" t="s">
        <v>1503</v>
      </c>
    </row>
    <row r="590" customFormat="false" ht="77.25" hidden="false" customHeight="true" outlineLevel="0" collapsed="false">
      <c r="A590" s="67" t="s">
        <v>2711</v>
      </c>
      <c r="B590" s="60" t="s">
        <v>900</v>
      </c>
      <c r="C590" s="61" t="s">
        <v>891</v>
      </c>
      <c r="D590" s="61" t="s">
        <v>901</v>
      </c>
      <c r="E590" s="62" t="s">
        <v>1498</v>
      </c>
      <c r="F590" s="62" t="s">
        <v>209</v>
      </c>
      <c r="G590" s="61" t="s">
        <v>2749</v>
      </c>
      <c r="H590" s="61" t="s">
        <v>2750</v>
      </c>
      <c r="I590" s="61" t="s">
        <v>1506</v>
      </c>
      <c r="J590" s="61"/>
      <c r="K590" s="61"/>
    </row>
    <row r="591" customFormat="false" ht="77.25" hidden="false" customHeight="true" outlineLevel="0" collapsed="false">
      <c r="A591" s="67" t="s">
        <v>2711</v>
      </c>
      <c r="B591" s="60" t="s">
        <v>900</v>
      </c>
      <c r="C591" s="61" t="s">
        <v>891</v>
      </c>
      <c r="D591" s="61" t="s">
        <v>901</v>
      </c>
      <c r="E591" s="62" t="s">
        <v>1498</v>
      </c>
      <c r="F591" s="62" t="s">
        <v>210</v>
      </c>
      <c r="G591" s="61" t="s">
        <v>2751</v>
      </c>
      <c r="H591" s="61" t="s">
        <v>2752</v>
      </c>
      <c r="I591" s="61" t="s">
        <v>1506</v>
      </c>
      <c r="J591" s="61"/>
      <c r="K591" s="61"/>
    </row>
    <row r="592" customFormat="false" ht="77.25" hidden="false" customHeight="true" outlineLevel="0" collapsed="false">
      <c r="A592" s="67" t="s">
        <v>2711</v>
      </c>
      <c r="B592" s="60" t="s">
        <v>900</v>
      </c>
      <c r="C592" s="61" t="s">
        <v>891</v>
      </c>
      <c r="D592" s="61" t="s">
        <v>901</v>
      </c>
      <c r="E592" s="62" t="s">
        <v>1498</v>
      </c>
      <c r="F592" s="62" t="s">
        <v>211</v>
      </c>
      <c r="G592" s="61" t="s">
        <v>2753</v>
      </c>
      <c r="H592" s="61" t="s">
        <v>2754</v>
      </c>
      <c r="I592" s="61" t="s">
        <v>1506</v>
      </c>
      <c r="J592" s="61"/>
      <c r="K592" s="61"/>
    </row>
    <row r="593" customFormat="false" ht="77.25" hidden="false" customHeight="true" outlineLevel="0" collapsed="false">
      <c r="A593" s="67" t="s">
        <v>2711</v>
      </c>
      <c r="B593" s="60" t="s">
        <v>900</v>
      </c>
      <c r="C593" s="61" t="s">
        <v>891</v>
      </c>
      <c r="D593" s="61" t="s">
        <v>901</v>
      </c>
      <c r="E593" s="62" t="s">
        <v>1511</v>
      </c>
      <c r="F593" s="62" t="s">
        <v>1512</v>
      </c>
      <c r="G593" s="61" t="s">
        <v>2755</v>
      </c>
      <c r="H593" s="61" t="s">
        <v>2756</v>
      </c>
      <c r="I593" s="61" t="s">
        <v>1506</v>
      </c>
      <c r="J593" s="61"/>
      <c r="K593" s="61"/>
    </row>
    <row r="594" customFormat="false" ht="77.25" hidden="false" customHeight="true" outlineLevel="0" collapsed="false">
      <c r="A594" s="67" t="s">
        <v>2711</v>
      </c>
      <c r="B594" s="60" t="s">
        <v>900</v>
      </c>
      <c r="C594" s="61" t="s">
        <v>891</v>
      </c>
      <c r="D594" s="61" t="s">
        <v>901</v>
      </c>
      <c r="E594" s="62" t="s">
        <v>1511</v>
      </c>
      <c r="F594" s="62" t="s">
        <v>213</v>
      </c>
      <c r="G594" s="61" t="s">
        <v>2757</v>
      </c>
      <c r="H594" s="61" t="s">
        <v>2758</v>
      </c>
      <c r="I594" s="61" t="s">
        <v>1506</v>
      </c>
      <c r="J594" s="61"/>
      <c r="K594" s="61"/>
    </row>
    <row r="595" customFormat="false" ht="77.25" hidden="false" customHeight="true" outlineLevel="0" collapsed="false">
      <c r="A595" s="67" t="s">
        <v>2711</v>
      </c>
      <c r="B595" s="60" t="s">
        <v>900</v>
      </c>
      <c r="C595" s="61" t="s">
        <v>891</v>
      </c>
      <c r="D595" s="61" t="s">
        <v>901</v>
      </c>
      <c r="E595" s="62" t="s">
        <v>1511</v>
      </c>
      <c r="F595" s="62" t="s">
        <v>214</v>
      </c>
      <c r="G595" s="61" t="s">
        <v>2759</v>
      </c>
      <c r="H595" s="61" t="s">
        <v>2760</v>
      </c>
      <c r="I595" s="61" t="s">
        <v>1506</v>
      </c>
      <c r="J595" s="61"/>
      <c r="K595" s="61"/>
    </row>
    <row r="596" customFormat="false" ht="77.25" hidden="false" customHeight="true" outlineLevel="0" collapsed="false">
      <c r="A596" s="67" t="s">
        <v>2711</v>
      </c>
      <c r="B596" s="60" t="s">
        <v>900</v>
      </c>
      <c r="C596" s="61" t="s">
        <v>891</v>
      </c>
      <c r="D596" s="61" t="s">
        <v>901</v>
      </c>
      <c r="E596" s="62" t="s">
        <v>1511</v>
      </c>
      <c r="F596" s="63" t="s">
        <v>215</v>
      </c>
      <c r="G596" s="61" t="s">
        <v>2761</v>
      </c>
      <c r="H596" s="61" t="s">
        <v>2762</v>
      </c>
      <c r="I596" s="61" t="s">
        <v>1506</v>
      </c>
      <c r="J596" s="61"/>
      <c r="K596" s="61"/>
    </row>
    <row r="597" customFormat="false" ht="77.25" hidden="false" customHeight="true" outlineLevel="0" collapsed="false">
      <c r="A597" s="67" t="s">
        <v>2711</v>
      </c>
      <c r="B597" s="60" t="s">
        <v>909</v>
      </c>
      <c r="C597" s="61" t="s">
        <v>891</v>
      </c>
      <c r="D597" s="61" t="s">
        <v>910</v>
      </c>
      <c r="E597" s="62" t="s">
        <v>1498</v>
      </c>
      <c r="F597" s="62" t="s">
        <v>1499</v>
      </c>
      <c r="G597" s="61" t="s">
        <v>2763</v>
      </c>
      <c r="H597" s="61" t="s">
        <v>2764</v>
      </c>
      <c r="I597" s="61" t="s">
        <v>1441</v>
      </c>
      <c r="J597" s="61" t="s">
        <v>2765</v>
      </c>
      <c r="K597" s="61" t="s">
        <v>1503</v>
      </c>
    </row>
    <row r="598" customFormat="false" ht="77.25" hidden="false" customHeight="true" outlineLevel="0" collapsed="false">
      <c r="A598" s="67" t="s">
        <v>2711</v>
      </c>
      <c r="B598" s="60" t="s">
        <v>909</v>
      </c>
      <c r="C598" s="61" t="s">
        <v>891</v>
      </c>
      <c r="D598" s="61" t="s">
        <v>910</v>
      </c>
      <c r="E598" s="62" t="s">
        <v>1498</v>
      </c>
      <c r="F598" s="62" t="s">
        <v>209</v>
      </c>
      <c r="G598" s="61" t="s">
        <v>2766</v>
      </c>
      <c r="H598" s="61" t="s">
        <v>2767</v>
      </c>
      <c r="I598" s="61" t="s">
        <v>1506</v>
      </c>
      <c r="J598" s="61"/>
      <c r="K598" s="61"/>
    </row>
    <row r="599" customFormat="false" ht="77.25" hidden="false" customHeight="true" outlineLevel="0" collapsed="false">
      <c r="A599" s="67" t="s">
        <v>2711</v>
      </c>
      <c r="B599" s="60" t="s">
        <v>909</v>
      </c>
      <c r="C599" s="61" t="s">
        <v>891</v>
      </c>
      <c r="D599" s="61" t="s">
        <v>910</v>
      </c>
      <c r="E599" s="62" t="s">
        <v>1498</v>
      </c>
      <c r="F599" s="62" t="s">
        <v>210</v>
      </c>
      <c r="G599" s="61" t="s">
        <v>2768</v>
      </c>
      <c r="H599" s="61" t="s">
        <v>2769</v>
      </c>
      <c r="I599" s="61" t="s">
        <v>1506</v>
      </c>
      <c r="J599" s="61"/>
      <c r="K599" s="61"/>
    </row>
    <row r="600" customFormat="false" ht="77.25" hidden="false" customHeight="true" outlineLevel="0" collapsed="false">
      <c r="A600" s="67" t="s">
        <v>2711</v>
      </c>
      <c r="B600" s="60" t="s">
        <v>909</v>
      </c>
      <c r="C600" s="61" t="s">
        <v>891</v>
      </c>
      <c r="D600" s="61" t="s">
        <v>910</v>
      </c>
      <c r="E600" s="62" t="s">
        <v>1498</v>
      </c>
      <c r="F600" s="62" t="s">
        <v>211</v>
      </c>
      <c r="G600" s="61" t="s">
        <v>2770</v>
      </c>
      <c r="H600" s="61" t="s">
        <v>2771</v>
      </c>
      <c r="I600" s="61" t="s">
        <v>1506</v>
      </c>
      <c r="J600" s="61"/>
      <c r="K600" s="61"/>
    </row>
    <row r="601" customFormat="false" ht="77.25" hidden="false" customHeight="true" outlineLevel="0" collapsed="false">
      <c r="A601" s="67" t="s">
        <v>2711</v>
      </c>
      <c r="B601" s="60" t="s">
        <v>909</v>
      </c>
      <c r="C601" s="61" t="s">
        <v>891</v>
      </c>
      <c r="D601" s="61" t="s">
        <v>910</v>
      </c>
      <c r="E601" s="62" t="s">
        <v>1511</v>
      </c>
      <c r="F601" s="62" t="s">
        <v>1512</v>
      </c>
      <c r="G601" s="61" t="s">
        <v>2772</v>
      </c>
      <c r="H601" s="61" t="s">
        <v>2773</v>
      </c>
      <c r="I601" s="61" t="s">
        <v>1506</v>
      </c>
      <c r="J601" s="61"/>
      <c r="K601" s="61"/>
    </row>
    <row r="602" customFormat="false" ht="77.25" hidden="false" customHeight="true" outlineLevel="0" collapsed="false">
      <c r="A602" s="67" t="s">
        <v>2711</v>
      </c>
      <c r="B602" s="60" t="s">
        <v>909</v>
      </c>
      <c r="C602" s="61" t="s">
        <v>891</v>
      </c>
      <c r="D602" s="61" t="s">
        <v>910</v>
      </c>
      <c r="E602" s="62" t="s">
        <v>1511</v>
      </c>
      <c r="F602" s="62" t="s">
        <v>213</v>
      </c>
      <c r="G602" s="61" t="s">
        <v>2774</v>
      </c>
      <c r="H602" s="61" t="s">
        <v>2775</v>
      </c>
      <c r="I602" s="61" t="s">
        <v>1506</v>
      </c>
      <c r="J602" s="61"/>
      <c r="K602" s="61"/>
    </row>
    <row r="603" customFormat="false" ht="77.25" hidden="false" customHeight="true" outlineLevel="0" collapsed="false">
      <c r="A603" s="67" t="s">
        <v>2711</v>
      </c>
      <c r="B603" s="60" t="s">
        <v>909</v>
      </c>
      <c r="C603" s="61" t="s">
        <v>891</v>
      </c>
      <c r="D603" s="61" t="s">
        <v>910</v>
      </c>
      <c r="E603" s="62" t="s">
        <v>1511</v>
      </c>
      <c r="F603" s="62" t="s">
        <v>214</v>
      </c>
      <c r="G603" s="61" t="s">
        <v>2776</v>
      </c>
      <c r="H603" s="61" t="s">
        <v>2777</v>
      </c>
      <c r="I603" s="61" t="s">
        <v>1506</v>
      </c>
      <c r="J603" s="61"/>
      <c r="K603" s="61"/>
    </row>
    <row r="604" customFormat="false" ht="93" hidden="false" customHeight="true" outlineLevel="0" collapsed="false">
      <c r="A604" s="67" t="s">
        <v>2711</v>
      </c>
      <c r="B604" s="60" t="s">
        <v>909</v>
      </c>
      <c r="C604" s="61" t="s">
        <v>891</v>
      </c>
      <c r="D604" s="61" t="s">
        <v>910</v>
      </c>
      <c r="E604" s="62" t="s">
        <v>1511</v>
      </c>
      <c r="F604" s="63" t="s">
        <v>215</v>
      </c>
      <c r="G604" s="61" t="s">
        <v>2778</v>
      </c>
      <c r="H604" s="61" t="s">
        <v>2779</v>
      </c>
      <c r="I604" s="61" t="s">
        <v>1506</v>
      </c>
      <c r="J604" s="61"/>
      <c r="K604" s="61"/>
    </row>
    <row r="605" customFormat="false" ht="77.25" hidden="false" customHeight="true" outlineLevel="0" collapsed="false">
      <c r="A605" s="67" t="s">
        <v>2711</v>
      </c>
      <c r="B605" s="60" t="s">
        <v>918</v>
      </c>
      <c r="C605" s="61" t="s">
        <v>891</v>
      </c>
      <c r="D605" s="61" t="s">
        <v>919</v>
      </c>
      <c r="E605" s="62" t="s">
        <v>1498</v>
      </c>
      <c r="F605" s="62" t="s">
        <v>1499</v>
      </c>
      <c r="G605" s="61" t="s">
        <v>2780</v>
      </c>
      <c r="H605" s="61" t="s">
        <v>2781</v>
      </c>
      <c r="I605" s="61" t="s">
        <v>1447</v>
      </c>
      <c r="J605" s="61" t="s">
        <v>2782</v>
      </c>
      <c r="K605" s="61" t="s">
        <v>1503</v>
      </c>
    </row>
    <row r="606" customFormat="false" ht="77.25" hidden="false" customHeight="true" outlineLevel="0" collapsed="false">
      <c r="A606" s="67" t="s">
        <v>2711</v>
      </c>
      <c r="B606" s="60" t="s">
        <v>918</v>
      </c>
      <c r="C606" s="61" t="s">
        <v>891</v>
      </c>
      <c r="D606" s="61" t="s">
        <v>919</v>
      </c>
      <c r="E606" s="62" t="s">
        <v>1498</v>
      </c>
      <c r="F606" s="62" t="s">
        <v>209</v>
      </c>
      <c r="G606" s="61" t="s">
        <v>2783</v>
      </c>
      <c r="H606" s="61" t="s">
        <v>2784</v>
      </c>
      <c r="I606" s="61" t="s">
        <v>1506</v>
      </c>
      <c r="J606" s="61"/>
      <c r="K606" s="61"/>
    </row>
    <row r="607" customFormat="false" ht="77.25" hidden="false" customHeight="true" outlineLevel="0" collapsed="false">
      <c r="A607" s="67" t="s">
        <v>2711</v>
      </c>
      <c r="B607" s="60" t="s">
        <v>918</v>
      </c>
      <c r="C607" s="61" t="s">
        <v>891</v>
      </c>
      <c r="D607" s="61" t="s">
        <v>919</v>
      </c>
      <c r="E607" s="62" t="s">
        <v>1498</v>
      </c>
      <c r="F607" s="62" t="s">
        <v>210</v>
      </c>
      <c r="G607" s="61" t="s">
        <v>2785</v>
      </c>
      <c r="H607" s="61" t="s">
        <v>2786</v>
      </c>
      <c r="I607" s="61" t="s">
        <v>1506</v>
      </c>
      <c r="J607" s="61"/>
      <c r="K607" s="61"/>
    </row>
    <row r="608" customFormat="false" ht="77.25" hidden="false" customHeight="true" outlineLevel="0" collapsed="false">
      <c r="A608" s="67" t="s">
        <v>2711</v>
      </c>
      <c r="B608" s="60" t="s">
        <v>918</v>
      </c>
      <c r="C608" s="61" t="s">
        <v>891</v>
      </c>
      <c r="D608" s="61" t="s">
        <v>919</v>
      </c>
      <c r="E608" s="62" t="s">
        <v>1498</v>
      </c>
      <c r="F608" s="62" t="s">
        <v>211</v>
      </c>
      <c r="G608" s="61" t="s">
        <v>2787</v>
      </c>
      <c r="H608" s="61" t="s">
        <v>2788</v>
      </c>
      <c r="I608" s="61" t="s">
        <v>1506</v>
      </c>
      <c r="J608" s="61"/>
      <c r="K608" s="61"/>
    </row>
    <row r="609" customFormat="false" ht="77.25" hidden="false" customHeight="true" outlineLevel="0" collapsed="false">
      <c r="A609" s="67" t="s">
        <v>2711</v>
      </c>
      <c r="B609" s="60" t="s">
        <v>918</v>
      </c>
      <c r="C609" s="61" t="s">
        <v>891</v>
      </c>
      <c r="D609" s="61" t="s">
        <v>919</v>
      </c>
      <c r="E609" s="62" t="s">
        <v>1511</v>
      </c>
      <c r="F609" s="62" t="s">
        <v>1512</v>
      </c>
      <c r="G609" s="61" t="s">
        <v>2789</v>
      </c>
      <c r="H609" s="61" t="s">
        <v>2790</v>
      </c>
      <c r="I609" s="61" t="s">
        <v>1506</v>
      </c>
      <c r="J609" s="61"/>
      <c r="K609" s="61"/>
    </row>
    <row r="610" customFormat="false" ht="77.25" hidden="false" customHeight="true" outlineLevel="0" collapsed="false">
      <c r="A610" s="67" t="s">
        <v>2711</v>
      </c>
      <c r="B610" s="60" t="s">
        <v>918</v>
      </c>
      <c r="C610" s="61" t="s">
        <v>891</v>
      </c>
      <c r="D610" s="61" t="s">
        <v>919</v>
      </c>
      <c r="E610" s="62" t="s">
        <v>1511</v>
      </c>
      <c r="F610" s="62" t="s">
        <v>213</v>
      </c>
      <c r="G610" s="61" t="s">
        <v>2791</v>
      </c>
      <c r="H610" s="61" t="s">
        <v>2792</v>
      </c>
      <c r="I610" s="61" t="s">
        <v>1506</v>
      </c>
      <c r="J610" s="61"/>
      <c r="K610" s="61"/>
    </row>
    <row r="611" customFormat="false" ht="77.25" hidden="false" customHeight="true" outlineLevel="0" collapsed="false">
      <c r="A611" s="67" t="s">
        <v>2711</v>
      </c>
      <c r="B611" s="60" t="s">
        <v>918</v>
      </c>
      <c r="C611" s="61" t="s">
        <v>891</v>
      </c>
      <c r="D611" s="61" t="s">
        <v>919</v>
      </c>
      <c r="E611" s="62" t="s">
        <v>1511</v>
      </c>
      <c r="F611" s="62" t="s">
        <v>214</v>
      </c>
      <c r="G611" s="61" t="s">
        <v>2793</v>
      </c>
      <c r="H611" s="61" t="s">
        <v>2794</v>
      </c>
      <c r="I611" s="61" t="s">
        <v>1506</v>
      </c>
      <c r="J611" s="61"/>
      <c r="K611" s="61"/>
    </row>
    <row r="612" customFormat="false" ht="77.25" hidden="false" customHeight="true" outlineLevel="0" collapsed="false">
      <c r="A612" s="67" t="s">
        <v>2711</v>
      </c>
      <c r="B612" s="60" t="s">
        <v>918</v>
      </c>
      <c r="C612" s="61" t="s">
        <v>891</v>
      </c>
      <c r="D612" s="61" t="s">
        <v>919</v>
      </c>
      <c r="E612" s="62" t="s">
        <v>1511</v>
      </c>
      <c r="F612" s="63" t="s">
        <v>215</v>
      </c>
      <c r="G612" s="61" t="s">
        <v>2795</v>
      </c>
      <c r="H612" s="61" t="s">
        <v>2796</v>
      </c>
      <c r="I612" s="61" t="s">
        <v>1506</v>
      </c>
      <c r="J612" s="61"/>
      <c r="K612" s="61"/>
    </row>
    <row r="613" customFormat="false" ht="77.25" hidden="false" customHeight="true" outlineLevel="0" collapsed="false">
      <c r="A613" s="67" t="s">
        <v>2711</v>
      </c>
      <c r="B613" s="60" t="s">
        <v>927</v>
      </c>
      <c r="C613" s="61" t="s">
        <v>891</v>
      </c>
      <c r="D613" s="61" t="s">
        <v>928</v>
      </c>
      <c r="E613" s="62" t="s">
        <v>1498</v>
      </c>
      <c r="F613" s="62" t="s">
        <v>1499</v>
      </c>
      <c r="G613" s="61" t="s">
        <v>2797</v>
      </c>
      <c r="H613" s="61" t="s">
        <v>2798</v>
      </c>
      <c r="I613" s="61" t="s">
        <v>1453</v>
      </c>
      <c r="J613" s="61" t="s">
        <v>2799</v>
      </c>
      <c r="K613" s="61" t="s">
        <v>1503</v>
      </c>
    </row>
    <row r="614" customFormat="false" ht="77.25" hidden="false" customHeight="true" outlineLevel="0" collapsed="false">
      <c r="A614" s="67" t="s">
        <v>2711</v>
      </c>
      <c r="B614" s="60" t="s">
        <v>927</v>
      </c>
      <c r="C614" s="61" t="s">
        <v>891</v>
      </c>
      <c r="D614" s="61" t="s">
        <v>928</v>
      </c>
      <c r="E614" s="62" t="s">
        <v>1498</v>
      </c>
      <c r="F614" s="62" t="s">
        <v>209</v>
      </c>
      <c r="G614" s="61" t="s">
        <v>2800</v>
      </c>
      <c r="H614" s="61" t="s">
        <v>2801</v>
      </c>
      <c r="I614" s="61" t="s">
        <v>1506</v>
      </c>
      <c r="J614" s="61"/>
      <c r="K614" s="61"/>
    </row>
    <row r="615" customFormat="false" ht="77.25" hidden="false" customHeight="true" outlineLevel="0" collapsed="false">
      <c r="A615" s="67" t="s">
        <v>2711</v>
      </c>
      <c r="B615" s="60" t="s">
        <v>927</v>
      </c>
      <c r="C615" s="61" t="s">
        <v>891</v>
      </c>
      <c r="D615" s="61" t="s">
        <v>928</v>
      </c>
      <c r="E615" s="62" t="s">
        <v>1498</v>
      </c>
      <c r="F615" s="62" t="s">
        <v>210</v>
      </c>
      <c r="G615" s="61" t="s">
        <v>2802</v>
      </c>
      <c r="H615" s="61" t="s">
        <v>2803</v>
      </c>
      <c r="I615" s="61" t="s">
        <v>1506</v>
      </c>
      <c r="J615" s="61"/>
      <c r="K615" s="61"/>
    </row>
    <row r="616" customFormat="false" ht="77.25" hidden="false" customHeight="true" outlineLevel="0" collapsed="false">
      <c r="A616" s="67" t="s">
        <v>2711</v>
      </c>
      <c r="B616" s="60" t="s">
        <v>927</v>
      </c>
      <c r="C616" s="61" t="s">
        <v>891</v>
      </c>
      <c r="D616" s="61" t="s">
        <v>928</v>
      </c>
      <c r="E616" s="62" t="s">
        <v>1498</v>
      </c>
      <c r="F616" s="62" t="s">
        <v>211</v>
      </c>
      <c r="G616" s="61" t="s">
        <v>2804</v>
      </c>
      <c r="H616" s="61" t="s">
        <v>2805</v>
      </c>
      <c r="I616" s="61" t="s">
        <v>1506</v>
      </c>
      <c r="J616" s="61"/>
      <c r="K616" s="61"/>
    </row>
    <row r="617" customFormat="false" ht="77.25" hidden="false" customHeight="true" outlineLevel="0" collapsed="false">
      <c r="A617" s="67" t="s">
        <v>2711</v>
      </c>
      <c r="B617" s="60" t="s">
        <v>927</v>
      </c>
      <c r="C617" s="61" t="s">
        <v>891</v>
      </c>
      <c r="D617" s="61" t="s">
        <v>928</v>
      </c>
      <c r="E617" s="62" t="s">
        <v>1511</v>
      </c>
      <c r="F617" s="62" t="s">
        <v>1512</v>
      </c>
      <c r="G617" s="61" t="s">
        <v>2806</v>
      </c>
      <c r="H617" s="61" t="s">
        <v>2807</v>
      </c>
      <c r="I617" s="61" t="s">
        <v>1506</v>
      </c>
      <c r="J617" s="61"/>
      <c r="K617" s="61"/>
    </row>
    <row r="618" customFormat="false" ht="77.25" hidden="false" customHeight="true" outlineLevel="0" collapsed="false">
      <c r="A618" s="67" t="s">
        <v>2711</v>
      </c>
      <c r="B618" s="60" t="s">
        <v>927</v>
      </c>
      <c r="C618" s="61" t="s">
        <v>891</v>
      </c>
      <c r="D618" s="61" t="s">
        <v>928</v>
      </c>
      <c r="E618" s="62" t="s">
        <v>1511</v>
      </c>
      <c r="F618" s="62" t="s">
        <v>213</v>
      </c>
      <c r="G618" s="61" t="s">
        <v>2808</v>
      </c>
      <c r="H618" s="61" t="s">
        <v>2809</v>
      </c>
      <c r="I618" s="61" t="s">
        <v>1506</v>
      </c>
      <c r="J618" s="61"/>
      <c r="K618" s="61"/>
    </row>
    <row r="619" customFormat="false" ht="77.25" hidden="false" customHeight="true" outlineLevel="0" collapsed="false">
      <c r="A619" s="67" t="s">
        <v>2711</v>
      </c>
      <c r="B619" s="60" t="s">
        <v>927</v>
      </c>
      <c r="C619" s="61" t="s">
        <v>891</v>
      </c>
      <c r="D619" s="61" t="s">
        <v>928</v>
      </c>
      <c r="E619" s="62" t="s">
        <v>1511</v>
      </c>
      <c r="F619" s="62" t="s">
        <v>214</v>
      </c>
      <c r="G619" s="61" t="s">
        <v>2810</v>
      </c>
      <c r="H619" s="61" t="s">
        <v>2811</v>
      </c>
      <c r="I619" s="61" t="s">
        <v>1506</v>
      </c>
      <c r="J619" s="61"/>
      <c r="K619" s="61"/>
    </row>
    <row r="620" customFormat="false" ht="77.25" hidden="false" customHeight="true" outlineLevel="0" collapsed="false">
      <c r="A620" s="67" t="s">
        <v>2711</v>
      </c>
      <c r="B620" s="60" t="s">
        <v>927</v>
      </c>
      <c r="C620" s="61" t="s">
        <v>891</v>
      </c>
      <c r="D620" s="61" t="s">
        <v>928</v>
      </c>
      <c r="E620" s="62" t="s">
        <v>1511</v>
      </c>
      <c r="F620" s="63" t="s">
        <v>215</v>
      </c>
      <c r="G620" s="61" t="s">
        <v>2812</v>
      </c>
      <c r="H620" s="61" t="s">
        <v>2813</v>
      </c>
      <c r="I620" s="61" t="s">
        <v>1506</v>
      </c>
      <c r="J620" s="61"/>
      <c r="K620" s="61"/>
    </row>
    <row r="621" customFormat="false" ht="77.25" hidden="false" customHeight="true" outlineLevel="0" collapsed="false">
      <c r="A621" s="67" t="s">
        <v>2711</v>
      </c>
      <c r="B621" s="60" t="s">
        <v>936</v>
      </c>
      <c r="C621" s="61" t="s">
        <v>937</v>
      </c>
      <c r="D621" s="61" t="s">
        <v>938</v>
      </c>
      <c r="E621" s="62" t="s">
        <v>1498</v>
      </c>
      <c r="F621" s="62" t="s">
        <v>1499</v>
      </c>
      <c r="G621" s="61" t="s">
        <v>2814</v>
      </c>
      <c r="H621" s="61" t="s">
        <v>2815</v>
      </c>
      <c r="I621" s="61" t="s">
        <v>1459</v>
      </c>
      <c r="J621" s="61" t="s">
        <v>2816</v>
      </c>
      <c r="K621" s="61" t="s">
        <v>1503</v>
      </c>
    </row>
    <row r="622" customFormat="false" ht="61.5" hidden="false" customHeight="true" outlineLevel="0" collapsed="false">
      <c r="A622" s="67" t="s">
        <v>2711</v>
      </c>
      <c r="B622" s="60" t="s">
        <v>936</v>
      </c>
      <c r="C622" s="61" t="s">
        <v>937</v>
      </c>
      <c r="D622" s="61" t="s">
        <v>938</v>
      </c>
      <c r="E622" s="62" t="s">
        <v>1498</v>
      </c>
      <c r="F622" s="62" t="s">
        <v>209</v>
      </c>
      <c r="G622" s="61" t="s">
        <v>2817</v>
      </c>
      <c r="H622" s="61" t="s">
        <v>2818</v>
      </c>
      <c r="I622" s="61" t="s">
        <v>1506</v>
      </c>
      <c r="J622" s="61"/>
      <c r="K622" s="61"/>
    </row>
    <row r="623" customFormat="false" ht="61.5" hidden="false" customHeight="true" outlineLevel="0" collapsed="false">
      <c r="A623" s="67" t="s">
        <v>2711</v>
      </c>
      <c r="B623" s="60" t="s">
        <v>936</v>
      </c>
      <c r="C623" s="61" t="s">
        <v>937</v>
      </c>
      <c r="D623" s="61" t="s">
        <v>938</v>
      </c>
      <c r="E623" s="62" t="s">
        <v>1498</v>
      </c>
      <c r="F623" s="62" t="s">
        <v>210</v>
      </c>
      <c r="G623" s="61" t="s">
        <v>2819</v>
      </c>
      <c r="H623" s="61" t="s">
        <v>2820</v>
      </c>
      <c r="I623" s="61" t="s">
        <v>1506</v>
      </c>
      <c r="J623" s="61"/>
      <c r="K623" s="61"/>
    </row>
    <row r="624" customFormat="false" ht="61.5" hidden="false" customHeight="true" outlineLevel="0" collapsed="false">
      <c r="A624" s="67" t="s">
        <v>2711</v>
      </c>
      <c r="B624" s="60" t="s">
        <v>936</v>
      </c>
      <c r="C624" s="61" t="s">
        <v>937</v>
      </c>
      <c r="D624" s="61" t="s">
        <v>938</v>
      </c>
      <c r="E624" s="62" t="s">
        <v>1498</v>
      </c>
      <c r="F624" s="62" t="s">
        <v>211</v>
      </c>
      <c r="G624" s="61" t="s">
        <v>2821</v>
      </c>
      <c r="H624" s="61" t="s">
        <v>2822</v>
      </c>
      <c r="I624" s="61" t="s">
        <v>1506</v>
      </c>
      <c r="J624" s="61"/>
      <c r="K624" s="61"/>
    </row>
    <row r="625" customFormat="false" ht="61.5" hidden="false" customHeight="true" outlineLevel="0" collapsed="false">
      <c r="A625" s="67" t="s">
        <v>2711</v>
      </c>
      <c r="B625" s="60" t="s">
        <v>936</v>
      </c>
      <c r="C625" s="61" t="s">
        <v>937</v>
      </c>
      <c r="D625" s="61" t="s">
        <v>938</v>
      </c>
      <c r="E625" s="62" t="s">
        <v>1511</v>
      </c>
      <c r="F625" s="62" t="s">
        <v>1512</v>
      </c>
      <c r="G625" s="61" t="s">
        <v>2823</v>
      </c>
      <c r="H625" s="61" t="s">
        <v>2824</v>
      </c>
      <c r="I625" s="61" t="s">
        <v>1506</v>
      </c>
      <c r="J625" s="61"/>
      <c r="K625" s="61"/>
    </row>
    <row r="626" customFormat="false" ht="61.5" hidden="false" customHeight="true" outlineLevel="0" collapsed="false">
      <c r="A626" s="67" t="s">
        <v>2711</v>
      </c>
      <c r="B626" s="60" t="s">
        <v>936</v>
      </c>
      <c r="C626" s="61" t="s">
        <v>937</v>
      </c>
      <c r="D626" s="61" t="s">
        <v>938</v>
      </c>
      <c r="E626" s="62" t="s">
        <v>1511</v>
      </c>
      <c r="F626" s="62" t="s">
        <v>213</v>
      </c>
      <c r="G626" s="61" t="s">
        <v>2825</v>
      </c>
      <c r="H626" s="61" t="s">
        <v>2826</v>
      </c>
      <c r="I626" s="61" t="s">
        <v>1506</v>
      </c>
      <c r="J626" s="61"/>
      <c r="K626" s="61"/>
    </row>
    <row r="627" customFormat="false" ht="77.25" hidden="false" customHeight="true" outlineLevel="0" collapsed="false">
      <c r="A627" s="67" t="s">
        <v>2711</v>
      </c>
      <c r="B627" s="60" t="s">
        <v>936</v>
      </c>
      <c r="C627" s="61" t="s">
        <v>937</v>
      </c>
      <c r="D627" s="61" t="s">
        <v>938</v>
      </c>
      <c r="E627" s="62" t="s">
        <v>1511</v>
      </c>
      <c r="F627" s="62" t="s">
        <v>214</v>
      </c>
      <c r="G627" s="61" t="s">
        <v>2827</v>
      </c>
      <c r="H627" s="61" t="s">
        <v>2828</v>
      </c>
      <c r="I627" s="61" t="s">
        <v>1506</v>
      </c>
      <c r="J627" s="61"/>
      <c r="K627" s="61"/>
    </row>
    <row r="628" customFormat="false" ht="77.25" hidden="false" customHeight="true" outlineLevel="0" collapsed="false">
      <c r="A628" s="67" t="s">
        <v>2711</v>
      </c>
      <c r="B628" s="60" t="s">
        <v>936</v>
      </c>
      <c r="C628" s="61" t="s">
        <v>937</v>
      </c>
      <c r="D628" s="61" t="s">
        <v>938</v>
      </c>
      <c r="E628" s="62" t="s">
        <v>1511</v>
      </c>
      <c r="F628" s="63" t="s">
        <v>215</v>
      </c>
      <c r="G628" s="61" t="s">
        <v>2829</v>
      </c>
      <c r="H628" s="61" t="s">
        <v>2830</v>
      </c>
      <c r="I628" s="61" t="s">
        <v>1506</v>
      </c>
      <c r="J628" s="61"/>
      <c r="K628" s="61"/>
    </row>
    <row r="629" customFormat="false" ht="93" hidden="false" customHeight="true" outlineLevel="0" collapsed="false">
      <c r="A629" s="67" t="s">
        <v>2711</v>
      </c>
      <c r="B629" s="60" t="s">
        <v>946</v>
      </c>
      <c r="C629" s="61" t="s">
        <v>937</v>
      </c>
      <c r="D629" s="61" t="s">
        <v>947</v>
      </c>
      <c r="E629" s="62" t="s">
        <v>1498</v>
      </c>
      <c r="F629" s="62" t="s">
        <v>1499</v>
      </c>
      <c r="G629" s="61" t="s">
        <v>2831</v>
      </c>
      <c r="H629" s="61" t="s">
        <v>2832</v>
      </c>
      <c r="I629" s="61" t="s">
        <v>1465</v>
      </c>
      <c r="J629" s="61" t="s">
        <v>2833</v>
      </c>
      <c r="K629" s="61" t="s">
        <v>1503</v>
      </c>
    </row>
    <row r="630" customFormat="false" ht="93" hidden="false" customHeight="true" outlineLevel="0" collapsed="false">
      <c r="A630" s="67" t="s">
        <v>2711</v>
      </c>
      <c r="B630" s="60" t="s">
        <v>946</v>
      </c>
      <c r="C630" s="61" t="s">
        <v>937</v>
      </c>
      <c r="D630" s="61" t="s">
        <v>947</v>
      </c>
      <c r="E630" s="62" t="s">
        <v>1498</v>
      </c>
      <c r="F630" s="62" t="s">
        <v>209</v>
      </c>
      <c r="G630" s="61" t="s">
        <v>2834</v>
      </c>
      <c r="H630" s="61" t="s">
        <v>2835</v>
      </c>
      <c r="I630" s="61" t="s">
        <v>1506</v>
      </c>
      <c r="J630" s="61"/>
      <c r="K630" s="61"/>
    </row>
    <row r="631" customFormat="false" ht="93" hidden="false" customHeight="true" outlineLevel="0" collapsed="false">
      <c r="A631" s="67" t="s">
        <v>2711</v>
      </c>
      <c r="B631" s="60" t="s">
        <v>946</v>
      </c>
      <c r="C631" s="61" t="s">
        <v>937</v>
      </c>
      <c r="D631" s="61" t="s">
        <v>947</v>
      </c>
      <c r="E631" s="62" t="s">
        <v>1498</v>
      </c>
      <c r="F631" s="62" t="s">
        <v>210</v>
      </c>
      <c r="G631" s="61" t="s">
        <v>2836</v>
      </c>
      <c r="H631" s="61" t="s">
        <v>2837</v>
      </c>
      <c r="I631" s="61" t="s">
        <v>1506</v>
      </c>
      <c r="J631" s="61"/>
      <c r="K631" s="61"/>
    </row>
    <row r="632" customFormat="false" ht="93" hidden="false" customHeight="true" outlineLevel="0" collapsed="false">
      <c r="A632" s="67" t="s">
        <v>2711</v>
      </c>
      <c r="B632" s="60" t="s">
        <v>946</v>
      </c>
      <c r="C632" s="61" t="s">
        <v>937</v>
      </c>
      <c r="D632" s="61" t="s">
        <v>947</v>
      </c>
      <c r="E632" s="62" t="s">
        <v>1498</v>
      </c>
      <c r="F632" s="62" t="s">
        <v>211</v>
      </c>
      <c r="G632" s="61" t="s">
        <v>2838</v>
      </c>
      <c r="H632" s="61" t="s">
        <v>2839</v>
      </c>
      <c r="I632" s="61" t="s">
        <v>1506</v>
      </c>
      <c r="J632" s="61"/>
      <c r="K632" s="61"/>
    </row>
    <row r="633" customFormat="false" ht="93" hidden="false" customHeight="true" outlineLevel="0" collapsed="false">
      <c r="A633" s="67" t="s">
        <v>2711</v>
      </c>
      <c r="B633" s="60" t="s">
        <v>946</v>
      </c>
      <c r="C633" s="61" t="s">
        <v>937</v>
      </c>
      <c r="D633" s="61" t="s">
        <v>947</v>
      </c>
      <c r="E633" s="62" t="s">
        <v>1511</v>
      </c>
      <c r="F633" s="62" t="s">
        <v>1512</v>
      </c>
      <c r="G633" s="61" t="s">
        <v>2840</v>
      </c>
      <c r="H633" s="61" t="s">
        <v>2841</v>
      </c>
      <c r="I633" s="61" t="s">
        <v>1506</v>
      </c>
      <c r="J633" s="61"/>
      <c r="K633" s="61"/>
    </row>
    <row r="634" customFormat="false" ht="93" hidden="false" customHeight="true" outlineLevel="0" collapsed="false">
      <c r="A634" s="67" t="s">
        <v>2711</v>
      </c>
      <c r="B634" s="60" t="s">
        <v>946</v>
      </c>
      <c r="C634" s="61" t="s">
        <v>937</v>
      </c>
      <c r="D634" s="61" t="s">
        <v>947</v>
      </c>
      <c r="E634" s="62" t="s">
        <v>1511</v>
      </c>
      <c r="F634" s="62" t="s">
        <v>213</v>
      </c>
      <c r="G634" s="61" t="s">
        <v>2842</v>
      </c>
      <c r="H634" s="61" t="s">
        <v>2843</v>
      </c>
      <c r="I634" s="61" t="s">
        <v>1506</v>
      </c>
      <c r="J634" s="61"/>
      <c r="K634" s="61"/>
    </row>
    <row r="635" customFormat="false" ht="93" hidden="false" customHeight="true" outlineLevel="0" collapsed="false">
      <c r="A635" s="67" t="s">
        <v>2711</v>
      </c>
      <c r="B635" s="60" t="s">
        <v>946</v>
      </c>
      <c r="C635" s="61" t="s">
        <v>937</v>
      </c>
      <c r="D635" s="61" t="s">
        <v>947</v>
      </c>
      <c r="E635" s="62" t="s">
        <v>1511</v>
      </c>
      <c r="F635" s="62" t="s">
        <v>214</v>
      </c>
      <c r="G635" s="61" t="s">
        <v>2844</v>
      </c>
      <c r="H635" s="61" t="s">
        <v>2845</v>
      </c>
      <c r="I635" s="61" t="s">
        <v>1506</v>
      </c>
      <c r="J635" s="61"/>
      <c r="K635" s="61"/>
    </row>
    <row r="636" customFormat="false" ht="108" hidden="false" customHeight="true" outlineLevel="0" collapsed="false">
      <c r="A636" s="67" t="s">
        <v>2711</v>
      </c>
      <c r="B636" s="60" t="s">
        <v>946</v>
      </c>
      <c r="C636" s="61" t="s">
        <v>937</v>
      </c>
      <c r="D636" s="61" t="s">
        <v>947</v>
      </c>
      <c r="E636" s="62" t="s">
        <v>1511</v>
      </c>
      <c r="F636" s="63" t="s">
        <v>215</v>
      </c>
      <c r="G636" s="61" t="s">
        <v>2846</v>
      </c>
      <c r="H636" s="61" t="s">
        <v>2847</v>
      </c>
      <c r="I636" s="61" t="s">
        <v>1506</v>
      </c>
      <c r="J636" s="61"/>
      <c r="K636" s="61"/>
    </row>
    <row r="637" customFormat="false" ht="77.25" hidden="false" customHeight="true" outlineLevel="0" collapsed="false">
      <c r="A637" s="67" t="s">
        <v>2711</v>
      </c>
      <c r="B637" s="60" t="s">
        <v>955</v>
      </c>
      <c r="C637" s="61" t="s">
        <v>937</v>
      </c>
      <c r="D637" s="61" t="s">
        <v>956</v>
      </c>
      <c r="E637" s="62" t="s">
        <v>1498</v>
      </c>
      <c r="F637" s="62" t="s">
        <v>1499</v>
      </c>
      <c r="G637" s="61" t="s">
        <v>2848</v>
      </c>
      <c r="H637" s="61" t="s">
        <v>2849</v>
      </c>
      <c r="I637" s="61" t="s">
        <v>1471</v>
      </c>
      <c r="J637" s="61" t="s">
        <v>2850</v>
      </c>
      <c r="K637" s="61" t="s">
        <v>1503</v>
      </c>
    </row>
    <row r="638" customFormat="false" ht="61.5" hidden="false" customHeight="true" outlineLevel="0" collapsed="false">
      <c r="A638" s="67" t="s">
        <v>2711</v>
      </c>
      <c r="B638" s="60" t="s">
        <v>955</v>
      </c>
      <c r="C638" s="61" t="s">
        <v>937</v>
      </c>
      <c r="D638" s="61" t="s">
        <v>956</v>
      </c>
      <c r="E638" s="62" t="s">
        <v>1498</v>
      </c>
      <c r="F638" s="62" t="s">
        <v>209</v>
      </c>
      <c r="G638" s="61" t="s">
        <v>2851</v>
      </c>
      <c r="H638" s="61" t="s">
        <v>2852</v>
      </c>
      <c r="I638" s="61" t="s">
        <v>1506</v>
      </c>
      <c r="J638" s="61"/>
      <c r="K638" s="61"/>
    </row>
    <row r="639" customFormat="false" ht="61.5" hidden="false" customHeight="true" outlineLevel="0" collapsed="false">
      <c r="A639" s="67" t="s">
        <v>2711</v>
      </c>
      <c r="B639" s="60" t="s">
        <v>955</v>
      </c>
      <c r="C639" s="61" t="s">
        <v>937</v>
      </c>
      <c r="D639" s="61" t="s">
        <v>956</v>
      </c>
      <c r="E639" s="62" t="s">
        <v>1498</v>
      </c>
      <c r="F639" s="62" t="s">
        <v>210</v>
      </c>
      <c r="G639" s="61" t="s">
        <v>2853</v>
      </c>
      <c r="H639" s="61" t="s">
        <v>2854</v>
      </c>
      <c r="I639" s="61" t="s">
        <v>1506</v>
      </c>
      <c r="J639" s="61"/>
      <c r="K639" s="61"/>
    </row>
    <row r="640" customFormat="false" ht="61.5" hidden="false" customHeight="true" outlineLevel="0" collapsed="false">
      <c r="A640" s="67" t="s">
        <v>2711</v>
      </c>
      <c r="B640" s="60" t="s">
        <v>955</v>
      </c>
      <c r="C640" s="61" t="s">
        <v>937</v>
      </c>
      <c r="D640" s="61" t="s">
        <v>956</v>
      </c>
      <c r="E640" s="62" t="s">
        <v>1498</v>
      </c>
      <c r="F640" s="62" t="s">
        <v>211</v>
      </c>
      <c r="G640" s="61" t="s">
        <v>2855</v>
      </c>
      <c r="H640" s="61" t="s">
        <v>2856</v>
      </c>
      <c r="I640" s="61" t="s">
        <v>1506</v>
      </c>
      <c r="J640" s="61"/>
      <c r="K640" s="61"/>
    </row>
    <row r="641" customFormat="false" ht="61.5" hidden="false" customHeight="true" outlineLevel="0" collapsed="false">
      <c r="A641" s="67" t="s">
        <v>2711</v>
      </c>
      <c r="B641" s="60" t="s">
        <v>955</v>
      </c>
      <c r="C641" s="61" t="s">
        <v>937</v>
      </c>
      <c r="D641" s="61" t="s">
        <v>956</v>
      </c>
      <c r="E641" s="62" t="s">
        <v>1511</v>
      </c>
      <c r="F641" s="62" t="s">
        <v>1512</v>
      </c>
      <c r="G641" s="61" t="s">
        <v>2857</v>
      </c>
      <c r="H641" s="61" t="s">
        <v>2858</v>
      </c>
      <c r="I641" s="61" t="s">
        <v>1506</v>
      </c>
      <c r="J641" s="61"/>
      <c r="K641" s="61"/>
    </row>
    <row r="642" customFormat="false" ht="61.5" hidden="false" customHeight="true" outlineLevel="0" collapsed="false">
      <c r="A642" s="67" t="s">
        <v>2711</v>
      </c>
      <c r="B642" s="60" t="s">
        <v>955</v>
      </c>
      <c r="C642" s="61" t="s">
        <v>937</v>
      </c>
      <c r="D642" s="61" t="s">
        <v>956</v>
      </c>
      <c r="E642" s="62" t="s">
        <v>1511</v>
      </c>
      <c r="F642" s="62" t="s">
        <v>213</v>
      </c>
      <c r="G642" s="61" t="s">
        <v>2859</v>
      </c>
      <c r="H642" s="61" t="s">
        <v>2860</v>
      </c>
      <c r="I642" s="61" t="s">
        <v>1506</v>
      </c>
      <c r="J642" s="61"/>
      <c r="K642" s="61"/>
    </row>
    <row r="643" customFormat="false" ht="61.5" hidden="false" customHeight="true" outlineLevel="0" collapsed="false">
      <c r="A643" s="67" t="s">
        <v>2711</v>
      </c>
      <c r="B643" s="60" t="s">
        <v>955</v>
      </c>
      <c r="C643" s="61" t="s">
        <v>937</v>
      </c>
      <c r="D643" s="61" t="s">
        <v>956</v>
      </c>
      <c r="E643" s="62" t="s">
        <v>1511</v>
      </c>
      <c r="F643" s="62" t="s">
        <v>214</v>
      </c>
      <c r="G643" s="61" t="s">
        <v>2861</v>
      </c>
      <c r="H643" s="61" t="s">
        <v>2862</v>
      </c>
      <c r="I643" s="61" t="s">
        <v>1506</v>
      </c>
      <c r="J643" s="61"/>
      <c r="K643" s="61"/>
    </row>
    <row r="644" customFormat="false" ht="77.25" hidden="false" customHeight="true" outlineLevel="0" collapsed="false">
      <c r="A644" s="67" t="s">
        <v>2711</v>
      </c>
      <c r="B644" s="60" t="s">
        <v>955</v>
      </c>
      <c r="C644" s="61" t="s">
        <v>937</v>
      </c>
      <c r="D644" s="61" t="s">
        <v>956</v>
      </c>
      <c r="E644" s="62" t="s">
        <v>1511</v>
      </c>
      <c r="F644" s="63" t="s">
        <v>215</v>
      </c>
      <c r="G644" s="61" t="s">
        <v>2863</v>
      </c>
      <c r="H644" s="61" t="s">
        <v>2864</v>
      </c>
      <c r="I644" s="61" t="s">
        <v>1506</v>
      </c>
      <c r="J644" s="61"/>
      <c r="K644" s="61"/>
    </row>
    <row r="645" customFormat="false" ht="77.25" hidden="false" customHeight="true" outlineLevel="0" collapsed="false">
      <c r="A645" s="67" t="s">
        <v>2711</v>
      </c>
      <c r="B645" s="60" t="s">
        <v>964</v>
      </c>
      <c r="C645" s="61" t="s">
        <v>965</v>
      </c>
      <c r="D645" s="61" t="s">
        <v>966</v>
      </c>
      <c r="E645" s="62" t="s">
        <v>1498</v>
      </c>
      <c r="F645" s="62" t="s">
        <v>1499</v>
      </c>
      <c r="G645" s="61" t="s">
        <v>2865</v>
      </c>
      <c r="H645" s="61" t="s">
        <v>2866</v>
      </c>
      <c r="I645" s="61" t="s">
        <v>1477</v>
      </c>
      <c r="J645" s="61" t="s">
        <v>2867</v>
      </c>
      <c r="K645" s="61" t="s">
        <v>1503</v>
      </c>
    </row>
    <row r="646" customFormat="false" ht="77.25" hidden="false" customHeight="true" outlineLevel="0" collapsed="false">
      <c r="A646" s="67" t="s">
        <v>2711</v>
      </c>
      <c r="B646" s="60" t="s">
        <v>964</v>
      </c>
      <c r="C646" s="61" t="s">
        <v>965</v>
      </c>
      <c r="D646" s="61" t="s">
        <v>966</v>
      </c>
      <c r="E646" s="62" t="s">
        <v>1498</v>
      </c>
      <c r="F646" s="62" t="s">
        <v>209</v>
      </c>
      <c r="G646" s="61" t="s">
        <v>2868</v>
      </c>
      <c r="H646" s="61" t="s">
        <v>2869</v>
      </c>
      <c r="I646" s="61" t="s">
        <v>1506</v>
      </c>
      <c r="J646" s="61"/>
      <c r="K646" s="61"/>
    </row>
    <row r="647" customFormat="false" ht="77.25" hidden="false" customHeight="true" outlineLevel="0" collapsed="false">
      <c r="A647" s="67" t="s">
        <v>2711</v>
      </c>
      <c r="B647" s="60" t="s">
        <v>964</v>
      </c>
      <c r="C647" s="61" t="s">
        <v>965</v>
      </c>
      <c r="D647" s="61" t="s">
        <v>966</v>
      </c>
      <c r="E647" s="62" t="s">
        <v>1498</v>
      </c>
      <c r="F647" s="62" t="s">
        <v>210</v>
      </c>
      <c r="G647" s="61" t="s">
        <v>2870</v>
      </c>
      <c r="H647" s="61" t="s">
        <v>2871</v>
      </c>
      <c r="I647" s="61" t="s">
        <v>1506</v>
      </c>
      <c r="J647" s="61"/>
      <c r="K647" s="61"/>
    </row>
    <row r="648" customFormat="false" ht="77.25" hidden="false" customHeight="true" outlineLevel="0" collapsed="false">
      <c r="A648" s="67" t="s">
        <v>2711</v>
      </c>
      <c r="B648" s="60" t="s">
        <v>964</v>
      </c>
      <c r="C648" s="61" t="s">
        <v>965</v>
      </c>
      <c r="D648" s="61" t="s">
        <v>966</v>
      </c>
      <c r="E648" s="62" t="s">
        <v>1498</v>
      </c>
      <c r="F648" s="62" t="s">
        <v>211</v>
      </c>
      <c r="G648" s="61" t="s">
        <v>2872</v>
      </c>
      <c r="H648" s="61" t="s">
        <v>2873</v>
      </c>
      <c r="I648" s="61" t="s">
        <v>1506</v>
      </c>
      <c r="J648" s="61"/>
      <c r="K648" s="61"/>
    </row>
    <row r="649" customFormat="false" ht="77.25" hidden="false" customHeight="true" outlineLevel="0" collapsed="false">
      <c r="A649" s="67" t="s">
        <v>2711</v>
      </c>
      <c r="B649" s="60" t="s">
        <v>964</v>
      </c>
      <c r="C649" s="61" t="s">
        <v>965</v>
      </c>
      <c r="D649" s="61" t="s">
        <v>966</v>
      </c>
      <c r="E649" s="62" t="s">
        <v>1511</v>
      </c>
      <c r="F649" s="62" t="s">
        <v>1512</v>
      </c>
      <c r="G649" s="61" t="s">
        <v>2874</v>
      </c>
      <c r="H649" s="61" t="s">
        <v>2875</v>
      </c>
      <c r="I649" s="61" t="s">
        <v>1506</v>
      </c>
      <c r="J649" s="61"/>
      <c r="K649" s="61"/>
    </row>
    <row r="650" customFormat="false" ht="77.25" hidden="false" customHeight="true" outlineLevel="0" collapsed="false">
      <c r="A650" s="67" t="s">
        <v>2711</v>
      </c>
      <c r="B650" s="60" t="s">
        <v>964</v>
      </c>
      <c r="C650" s="61" t="s">
        <v>965</v>
      </c>
      <c r="D650" s="61" t="s">
        <v>966</v>
      </c>
      <c r="E650" s="62" t="s">
        <v>1511</v>
      </c>
      <c r="F650" s="62" t="s">
        <v>213</v>
      </c>
      <c r="G650" s="61" t="s">
        <v>2876</v>
      </c>
      <c r="H650" s="61" t="s">
        <v>2877</v>
      </c>
      <c r="I650" s="61" t="s">
        <v>1506</v>
      </c>
      <c r="J650" s="61"/>
      <c r="K650" s="61"/>
    </row>
    <row r="651" customFormat="false" ht="77.25" hidden="false" customHeight="true" outlineLevel="0" collapsed="false">
      <c r="A651" s="67" t="s">
        <v>2711</v>
      </c>
      <c r="B651" s="60" t="s">
        <v>964</v>
      </c>
      <c r="C651" s="61" t="s">
        <v>965</v>
      </c>
      <c r="D651" s="61" t="s">
        <v>966</v>
      </c>
      <c r="E651" s="62" t="s">
        <v>1511</v>
      </c>
      <c r="F651" s="62" t="s">
        <v>214</v>
      </c>
      <c r="G651" s="61" t="s">
        <v>2878</v>
      </c>
      <c r="H651" s="61" t="s">
        <v>2879</v>
      </c>
      <c r="I651" s="61" t="s">
        <v>1506</v>
      </c>
      <c r="J651" s="61"/>
      <c r="K651" s="61"/>
    </row>
    <row r="652" customFormat="false" ht="77.25" hidden="false" customHeight="true" outlineLevel="0" collapsed="false">
      <c r="A652" s="67" t="s">
        <v>2711</v>
      </c>
      <c r="B652" s="60" t="s">
        <v>964</v>
      </c>
      <c r="C652" s="61" t="s">
        <v>965</v>
      </c>
      <c r="D652" s="61" t="s">
        <v>966</v>
      </c>
      <c r="E652" s="62" t="s">
        <v>1511</v>
      </c>
      <c r="F652" s="63" t="s">
        <v>215</v>
      </c>
      <c r="G652" s="61" t="s">
        <v>2880</v>
      </c>
      <c r="H652" s="61" t="s">
        <v>2881</v>
      </c>
      <c r="I652" s="61" t="s">
        <v>1506</v>
      </c>
      <c r="J652" s="61"/>
      <c r="K652" s="61"/>
    </row>
    <row r="653" customFormat="false" ht="77.25" hidden="false" customHeight="true" outlineLevel="0" collapsed="false">
      <c r="A653" s="67" t="s">
        <v>2711</v>
      </c>
      <c r="B653" s="60" t="s">
        <v>974</v>
      </c>
      <c r="C653" s="61" t="s">
        <v>965</v>
      </c>
      <c r="D653" s="61" t="s">
        <v>975</v>
      </c>
      <c r="E653" s="62" t="s">
        <v>1498</v>
      </c>
      <c r="F653" s="62" t="s">
        <v>1499</v>
      </c>
      <c r="G653" s="61" t="s">
        <v>2882</v>
      </c>
      <c r="H653" s="61" t="s">
        <v>2883</v>
      </c>
      <c r="I653" s="61" t="s">
        <v>1483</v>
      </c>
      <c r="J653" s="61" t="s">
        <v>2884</v>
      </c>
      <c r="K653" s="61" t="s">
        <v>1503</v>
      </c>
    </row>
    <row r="654" customFormat="false" ht="77.25" hidden="false" customHeight="true" outlineLevel="0" collapsed="false">
      <c r="A654" s="67" t="s">
        <v>2711</v>
      </c>
      <c r="B654" s="60" t="s">
        <v>974</v>
      </c>
      <c r="C654" s="61" t="s">
        <v>965</v>
      </c>
      <c r="D654" s="61" t="s">
        <v>975</v>
      </c>
      <c r="E654" s="62" t="s">
        <v>1498</v>
      </c>
      <c r="F654" s="62" t="s">
        <v>209</v>
      </c>
      <c r="G654" s="61" t="s">
        <v>2885</v>
      </c>
      <c r="H654" s="61" t="s">
        <v>2886</v>
      </c>
      <c r="I654" s="61" t="s">
        <v>1506</v>
      </c>
      <c r="J654" s="61"/>
      <c r="K654" s="61"/>
    </row>
    <row r="655" customFormat="false" ht="77.25" hidden="false" customHeight="true" outlineLevel="0" collapsed="false">
      <c r="A655" s="67" t="s">
        <v>2711</v>
      </c>
      <c r="B655" s="60" t="s">
        <v>974</v>
      </c>
      <c r="C655" s="61" t="s">
        <v>965</v>
      </c>
      <c r="D655" s="61" t="s">
        <v>975</v>
      </c>
      <c r="E655" s="62" t="s">
        <v>1498</v>
      </c>
      <c r="F655" s="62" t="s">
        <v>210</v>
      </c>
      <c r="G655" s="61" t="s">
        <v>2887</v>
      </c>
      <c r="H655" s="61" t="s">
        <v>2888</v>
      </c>
      <c r="I655" s="61" t="s">
        <v>1506</v>
      </c>
      <c r="J655" s="61"/>
      <c r="K655" s="61"/>
    </row>
    <row r="656" customFormat="false" ht="77.25" hidden="false" customHeight="true" outlineLevel="0" collapsed="false">
      <c r="A656" s="67" t="s">
        <v>2711</v>
      </c>
      <c r="B656" s="60" t="s">
        <v>974</v>
      </c>
      <c r="C656" s="61" t="s">
        <v>965</v>
      </c>
      <c r="D656" s="61" t="s">
        <v>975</v>
      </c>
      <c r="E656" s="62" t="s">
        <v>1498</v>
      </c>
      <c r="F656" s="62" t="s">
        <v>211</v>
      </c>
      <c r="G656" s="61" t="s">
        <v>2889</v>
      </c>
      <c r="H656" s="61" t="s">
        <v>2890</v>
      </c>
      <c r="I656" s="61" t="s">
        <v>1506</v>
      </c>
      <c r="J656" s="61"/>
      <c r="K656" s="61"/>
    </row>
    <row r="657" customFormat="false" ht="77.25" hidden="false" customHeight="true" outlineLevel="0" collapsed="false">
      <c r="A657" s="67" t="s">
        <v>2711</v>
      </c>
      <c r="B657" s="60" t="s">
        <v>974</v>
      </c>
      <c r="C657" s="61" t="s">
        <v>965</v>
      </c>
      <c r="D657" s="61" t="s">
        <v>975</v>
      </c>
      <c r="E657" s="62" t="s">
        <v>1511</v>
      </c>
      <c r="F657" s="62" t="s">
        <v>1512</v>
      </c>
      <c r="G657" s="61" t="s">
        <v>2891</v>
      </c>
      <c r="H657" s="61" t="s">
        <v>2892</v>
      </c>
      <c r="I657" s="61" t="s">
        <v>1506</v>
      </c>
      <c r="J657" s="61"/>
      <c r="K657" s="61"/>
    </row>
    <row r="658" customFormat="false" ht="77.25" hidden="false" customHeight="true" outlineLevel="0" collapsed="false">
      <c r="A658" s="67" t="s">
        <v>2711</v>
      </c>
      <c r="B658" s="60" t="s">
        <v>974</v>
      </c>
      <c r="C658" s="61" t="s">
        <v>965</v>
      </c>
      <c r="D658" s="61" t="s">
        <v>975</v>
      </c>
      <c r="E658" s="62" t="s">
        <v>1511</v>
      </c>
      <c r="F658" s="62" t="s">
        <v>213</v>
      </c>
      <c r="G658" s="61" t="s">
        <v>2893</v>
      </c>
      <c r="H658" s="61" t="s">
        <v>2894</v>
      </c>
      <c r="I658" s="61" t="s">
        <v>1506</v>
      </c>
      <c r="J658" s="61"/>
      <c r="K658" s="61"/>
    </row>
    <row r="659" customFormat="false" ht="77.25" hidden="false" customHeight="true" outlineLevel="0" collapsed="false">
      <c r="A659" s="67" t="s">
        <v>2711</v>
      </c>
      <c r="B659" s="60" t="s">
        <v>974</v>
      </c>
      <c r="C659" s="61" t="s">
        <v>965</v>
      </c>
      <c r="D659" s="61" t="s">
        <v>975</v>
      </c>
      <c r="E659" s="62" t="s">
        <v>1511</v>
      </c>
      <c r="F659" s="62" t="s">
        <v>214</v>
      </c>
      <c r="G659" s="61" t="s">
        <v>2895</v>
      </c>
      <c r="H659" s="61" t="s">
        <v>2896</v>
      </c>
      <c r="I659" s="61" t="s">
        <v>1506</v>
      </c>
      <c r="J659" s="61"/>
      <c r="K659" s="61"/>
    </row>
    <row r="660" customFormat="false" ht="77.25" hidden="false" customHeight="true" outlineLevel="0" collapsed="false">
      <c r="A660" s="67" t="s">
        <v>2711</v>
      </c>
      <c r="B660" s="60" t="s">
        <v>974</v>
      </c>
      <c r="C660" s="61" t="s">
        <v>965</v>
      </c>
      <c r="D660" s="61" t="s">
        <v>975</v>
      </c>
      <c r="E660" s="62" t="s">
        <v>1511</v>
      </c>
      <c r="F660" s="63" t="s">
        <v>215</v>
      </c>
      <c r="G660" s="61" t="s">
        <v>2897</v>
      </c>
      <c r="H660" s="61" t="s">
        <v>2898</v>
      </c>
      <c r="I660" s="61" t="s">
        <v>1506</v>
      </c>
      <c r="J660" s="61"/>
      <c r="K660" s="61"/>
    </row>
  </sheetData>
  <mergeCells count="2">
    <mergeCell ref="A1:K1"/>
    <mergeCell ref="A2:K2"/>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K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24"/>
    <col collapsed="false" customWidth="true" hidden="false" outlineLevel="0" max="4" min="4" style="1" width="15"/>
    <col collapsed="false" customWidth="true" hidden="false" outlineLevel="0" max="11" min="11" style="1" width="17"/>
  </cols>
  <sheetData>
    <row r="1" customFormat="false" ht="15" hidden="false" customHeight="true" outlineLevel="0" collapsed="false">
      <c r="A1" s="38" t="s">
        <v>2899</v>
      </c>
      <c r="B1" s="38"/>
      <c r="C1" s="38"/>
      <c r="D1" s="38"/>
      <c r="E1" s="38"/>
      <c r="F1" s="38"/>
      <c r="G1" s="38"/>
      <c r="H1" s="38"/>
      <c r="I1" s="38"/>
      <c r="J1" s="38"/>
      <c r="K1" s="38"/>
    </row>
    <row r="2" customFormat="false" ht="15" hidden="false" customHeight="true" outlineLevel="0" collapsed="false">
      <c r="A2" s="39" t="s">
        <v>2900</v>
      </c>
      <c r="B2" s="39"/>
      <c r="C2" s="39"/>
      <c r="D2" s="39"/>
      <c r="E2" s="39"/>
      <c r="F2" s="39"/>
      <c r="G2" s="39"/>
      <c r="H2" s="39"/>
      <c r="I2" s="39"/>
      <c r="J2" s="39"/>
      <c r="K2" s="39"/>
    </row>
    <row r="3" customFormat="false" ht="15" hidden="false" customHeight="true" outlineLevel="0" collapsed="false">
      <c r="A3" s="40" t="s">
        <v>56</v>
      </c>
    </row>
    <row r="4" customFormat="false" ht="15" hidden="false" customHeight="true" outlineLevel="0" collapsed="false">
      <c r="A4" s="41" t="s">
        <v>205</v>
      </c>
      <c r="B4" s="41" t="s">
        <v>206</v>
      </c>
      <c r="C4" s="41" t="s">
        <v>207</v>
      </c>
      <c r="D4" s="42" t="s">
        <v>208</v>
      </c>
      <c r="E4" s="68" t="s">
        <v>209</v>
      </c>
      <c r="F4" s="68" t="s">
        <v>210</v>
      </c>
      <c r="G4" s="68" t="s">
        <v>211</v>
      </c>
      <c r="H4" s="44" t="s">
        <v>212</v>
      </c>
      <c r="I4" s="69" t="s">
        <v>213</v>
      </c>
      <c r="J4" s="69" t="s">
        <v>214</v>
      </c>
      <c r="K4" s="46" t="s">
        <v>215</v>
      </c>
    </row>
    <row r="5" customFormat="false" ht="15" hidden="false" customHeight="true" outlineLevel="0" collapsed="false">
      <c r="A5" s="70" t="s">
        <v>1497</v>
      </c>
      <c r="B5" s="70"/>
      <c r="C5" s="70"/>
      <c r="D5" s="70"/>
      <c r="E5" s="70"/>
      <c r="F5" s="70"/>
      <c r="G5" s="70"/>
      <c r="H5" s="70"/>
      <c r="I5" s="70"/>
      <c r="J5" s="70"/>
      <c r="K5" s="70"/>
    </row>
    <row r="6" customFormat="false" ht="77.25" hidden="false" customHeight="true" outlineLevel="0" collapsed="false">
      <c r="A6" s="47" t="s">
        <v>216</v>
      </c>
      <c r="B6" s="48" t="s">
        <v>217</v>
      </c>
      <c r="C6" s="48" t="s">
        <v>218</v>
      </c>
      <c r="D6" s="49" t="s">
        <v>219</v>
      </c>
      <c r="E6" s="49" t="s">
        <v>220</v>
      </c>
      <c r="F6" s="49" t="s">
        <v>221</v>
      </c>
      <c r="G6" s="49" t="s">
        <v>222</v>
      </c>
      <c r="H6" s="49" t="s">
        <v>223</v>
      </c>
      <c r="I6" s="49" t="s">
        <v>224</v>
      </c>
      <c r="J6" s="49" t="s">
        <v>225</v>
      </c>
      <c r="K6" s="50" t="s">
        <v>218</v>
      </c>
    </row>
    <row r="7" customFormat="false" ht="61.5" hidden="false" customHeight="true" outlineLevel="0" collapsed="false">
      <c r="A7" s="47" t="s">
        <v>226</v>
      </c>
      <c r="B7" s="48" t="s">
        <v>217</v>
      </c>
      <c r="C7" s="48" t="s">
        <v>227</v>
      </c>
      <c r="D7" s="49" t="s">
        <v>228</v>
      </c>
      <c r="E7" s="49" t="s">
        <v>229</v>
      </c>
      <c r="F7" s="49" t="s">
        <v>230</v>
      </c>
      <c r="G7" s="49" t="s">
        <v>231</v>
      </c>
      <c r="H7" s="49" t="s">
        <v>232</v>
      </c>
      <c r="I7" s="49" t="s">
        <v>233</v>
      </c>
      <c r="J7" s="49" t="s">
        <v>234</v>
      </c>
      <c r="K7" s="50" t="s">
        <v>227</v>
      </c>
    </row>
    <row r="8" customFormat="false" ht="77.25" hidden="false" customHeight="true" outlineLevel="0" collapsed="false">
      <c r="A8" s="47" t="s">
        <v>235</v>
      </c>
      <c r="B8" s="48" t="s">
        <v>236</v>
      </c>
      <c r="C8" s="48" t="s">
        <v>237</v>
      </c>
      <c r="D8" s="49" t="s">
        <v>238</v>
      </c>
      <c r="E8" s="49" t="s">
        <v>239</v>
      </c>
      <c r="F8" s="49" t="s">
        <v>240</v>
      </c>
      <c r="G8" s="49" t="s">
        <v>241</v>
      </c>
      <c r="H8" s="49" t="s">
        <v>242</v>
      </c>
      <c r="I8" s="49" t="s">
        <v>243</v>
      </c>
      <c r="J8" s="49" t="s">
        <v>244</v>
      </c>
      <c r="K8" s="50" t="s">
        <v>237</v>
      </c>
    </row>
    <row r="9" customFormat="false" ht="93" hidden="false" customHeight="true" outlineLevel="0" collapsed="false">
      <c r="A9" s="47" t="s">
        <v>245</v>
      </c>
      <c r="B9" s="48" t="s">
        <v>236</v>
      </c>
      <c r="C9" s="48" t="s">
        <v>246</v>
      </c>
      <c r="D9" s="49" t="s">
        <v>247</v>
      </c>
      <c r="E9" s="49" t="s">
        <v>248</v>
      </c>
      <c r="F9" s="49" t="s">
        <v>249</v>
      </c>
      <c r="G9" s="49" t="s">
        <v>250</v>
      </c>
      <c r="H9" s="49" t="s">
        <v>251</v>
      </c>
      <c r="I9" s="49" t="s">
        <v>252</v>
      </c>
      <c r="J9" s="49" t="s">
        <v>253</v>
      </c>
      <c r="K9" s="50" t="s">
        <v>246</v>
      </c>
    </row>
    <row r="10" customFormat="false" ht="232.5" hidden="false" customHeight="true" outlineLevel="0" collapsed="false">
      <c r="A10" s="47" t="s">
        <v>254</v>
      </c>
      <c r="B10" s="48" t="s">
        <v>255</v>
      </c>
      <c r="C10" s="48" t="s">
        <v>256</v>
      </c>
      <c r="D10" s="49" t="s">
        <v>257</v>
      </c>
      <c r="E10" s="49" t="s">
        <v>258</v>
      </c>
      <c r="F10" s="49" t="s">
        <v>259</v>
      </c>
      <c r="G10" s="49" t="s">
        <v>260</v>
      </c>
      <c r="H10" s="49" t="s">
        <v>261</v>
      </c>
      <c r="I10" s="49" t="s">
        <v>262</v>
      </c>
      <c r="J10" s="49" t="s">
        <v>263</v>
      </c>
      <c r="K10" s="50" t="s">
        <v>256</v>
      </c>
    </row>
    <row r="11" customFormat="false" ht="263.25" hidden="false" customHeight="true" outlineLevel="0" collapsed="false">
      <c r="A11" s="47" t="s">
        <v>264</v>
      </c>
      <c r="B11" s="48" t="s">
        <v>255</v>
      </c>
      <c r="C11" s="48" t="s">
        <v>265</v>
      </c>
      <c r="D11" s="49" t="s">
        <v>266</v>
      </c>
      <c r="E11" s="49" t="s">
        <v>267</v>
      </c>
      <c r="F11" s="49" t="s">
        <v>268</v>
      </c>
      <c r="G11" s="49" t="s">
        <v>269</v>
      </c>
      <c r="H11" s="49" t="s">
        <v>270</v>
      </c>
      <c r="I11" s="49" t="s">
        <v>271</v>
      </c>
      <c r="J11" s="49" t="s">
        <v>272</v>
      </c>
      <c r="K11" s="50" t="s">
        <v>265</v>
      </c>
    </row>
    <row r="12" customFormat="false" ht="154.5" hidden="false" customHeight="true" outlineLevel="0" collapsed="false">
      <c r="A12" s="47" t="s">
        <v>273</v>
      </c>
      <c r="B12" s="48" t="s">
        <v>255</v>
      </c>
      <c r="C12" s="48" t="s">
        <v>274</v>
      </c>
      <c r="D12" s="49" t="s">
        <v>275</v>
      </c>
      <c r="E12" s="49" t="s">
        <v>276</v>
      </c>
      <c r="F12" s="49" t="s">
        <v>277</v>
      </c>
      <c r="G12" s="49" t="s">
        <v>278</v>
      </c>
      <c r="H12" s="49" t="s">
        <v>279</v>
      </c>
      <c r="I12" s="49" t="s">
        <v>280</v>
      </c>
      <c r="J12" s="49" t="s">
        <v>281</v>
      </c>
      <c r="K12" s="50" t="s">
        <v>274</v>
      </c>
    </row>
    <row r="13" customFormat="false" ht="77.25" hidden="false" customHeight="true" outlineLevel="0" collapsed="false">
      <c r="A13" s="47" t="s">
        <v>282</v>
      </c>
      <c r="B13" s="48" t="s">
        <v>255</v>
      </c>
      <c r="C13" s="48" t="s">
        <v>283</v>
      </c>
      <c r="D13" s="49" t="s">
        <v>284</v>
      </c>
      <c r="E13" s="49" t="s">
        <v>285</v>
      </c>
      <c r="F13" s="49" t="s">
        <v>286</v>
      </c>
      <c r="G13" s="49" t="s">
        <v>287</v>
      </c>
      <c r="H13" s="49" t="s">
        <v>288</v>
      </c>
      <c r="I13" s="49" t="s">
        <v>289</v>
      </c>
      <c r="J13" s="49" t="s">
        <v>290</v>
      </c>
      <c r="K13" s="50" t="s">
        <v>283</v>
      </c>
    </row>
    <row r="14" customFormat="false" ht="294" hidden="false" customHeight="true" outlineLevel="0" collapsed="false">
      <c r="A14" s="47" t="s">
        <v>291</v>
      </c>
      <c r="B14" s="48" t="s">
        <v>292</v>
      </c>
      <c r="C14" s="48" t="s">
        <v>293</v>
      </c>
      <c r="D14" s="49" t="s">
        <v>294</v>
      </c>
      <c r="E14" s="49" t="s">
        <v>295</v>
      </c>
      <c r="F14" s="49" t="s">
        <v>296</v>
      </c>
      <c r="G14" s="49" t="s">
        <v>297</v>
      </c>
      <c r="H14" s="49" t="s">
        <v>298</v>
      </c>
      <c r="I14" s="49" t="s">
        <v>299</v>
      </c>
      <c r="J14" s="49" t="s">
        <v>300</v>
      </c>
      <c r="K14" s="50" t="s">
        <v>293</v>
      </c>
    </row>
    <row r="15" customFormat="false" ht="77.25" hidden="false" customHeight="true" outlineLevel="0" collapsed="false">
      <c r="A15" s="47" t="s">
        <v>301</v>
      </c>
      <c r="B15" s="48" t="s">
        <v>292</v>
      </c>
      <c r="C15" s="48" t="s">
        <v>302</v>
      </c>
      <c r="D15" s="49" t="s">
        <v>303</v>
      </c>
      <c r="E15" s="49" t="s">
        <v>304</v>
      </c>
      <c r="F15" s="49" t="s">
        <v>305</v>
      </c>
      <c r="G15" s="49" t="s">
        <v>306</v>
      </c>
      <c r="H15" s="49" t="s">
        <v>307</v>
      </c>
      <c r="I15" s="49" t="s">
        <v>308</v>
      </c>
      <c r="J15" s="49" t="s">
        <v>309</v>
      </c>
      <c r="K15" s="50" t="s">
        <v>302</v>
      </c>
    </row>
    <row r="16" customFormat="false" ht="123.75" hidden="false" customHeight="true" outlineLevel="0" collapsed="false">
      <c r="A16" s="47" t="s">
        <v>310</v>
      </c>
      <c r="B16" s="48" t="s">
        <v>311</v>
      </c>
      <c r="C16" s="48" t="s">
        <v>312</v>
      </c>
      <c r="D16" s="49" t="s">
        <v>313</v>
      </c>
      <c r="E16" s="49" t="s">
        <v>314</v>
      </c>
      <c r="F16" s="49" t="s">
        <v>315</v>
      </c>
      <c r="G16" s="49" t="s">
        <v>316</v>
      </c>
      <c r="H16" s="49" t="s">
        <v>317</v>
      </c>
      <c r="I16" s="49" t="s">
        <v>318</v>
      </c>
      <c r="J16" s="49" t="s">
        <v>319</v>
      </c>
      <c r="K16" s="50" t="s">
        <v>312</v>
      </c>
    </row>
    <row r="17" customFormat="false" ht="123.75" hidden="false" customHeight="true" outlineLevel="0" collapsed="false">
      <c r="A17" s="47" t="s">
        <v>320</v>
      </c>
      <c r="B17" s="48" t="s">
        <v>311</v>
      </c>
      <c r="C17" s="48" t="s">
        <v>321</v>
      </c>
      <c r="D17" s="49" t="s">
        <v>322</v>
      </c>
      <c r="E17" s="49" t="s">
        <v>323</v>
      </c>
      <c r="F17" s="49" t="s">
        <v>324</v>
      </c>
      <c r="G17" s="49" t="s">
        <v>325</v>
      </c>
      <c r="H17" s="49" t="s">
        <v>326</v>
      </c>
      <c r="I17" s="49" t="s">
        <v>327</v>
      </c>
      <c r="J17" s="49" t="s">
        <v>328</v>
      </c>
      <c r="K17" s="50" t="s">
        <v>321</v>
      </c>
    </row>
    <row r="18" customFormat="false" ht="108" hidden="false" customHeight="true" outlineLevel="0" collapsed="false">
      <c r="A18" s="47" t="s">
        <v>329</v>
      </c>
      <c r="B18" s="48" t="s">
        <v>330</v>
      </c>
      <c r="C18" s="48" t="s">
        <v>331</v>
      </c>
      <c r="D18" s="49" t="s">
        <v>332</v>
      </c>
      <c r="E18" s="49" t="s">
        <v>333</v>
      </c>
      <c r="F18" s="49" t="s">
        <v>334</v>
      </c>
      <c r="G18" s="49" t="s">
        <v>335</v>
      </c>
      <c r="H18" s="49" t="s">
        <v>336</v>
      </c>
      <c r="I18" s="49" t="s">
        <v>337</v>
      </c>
      <c r="J18" s="49" t="s">
        <v>338</v>
      </c>
      <c r="K18" s="50" t="s">
        <v>331</v>
      </c>
    </row>
    <row r="19" customFormat="false" ht="154.5" hidden="false" customHeight="true" outlineLevel="0" collapsed="false">
      <c r="A19" s="47" t="s">
        <v>339</v>
      </c>
      <c r="B19" s="48" t="s">
        <v>330</v>
      </c>
      <c r="C19" s="48" t="s">
        <v>340</v>
      </c>
      <c r="D19" s="49" t="s">
        <v>341</v>
      </c>
      <c r="E19" s="49" t="s">
        <v>342</v>
      </c>
      <c r="F19" s="49" t="s">
        <v>343</v>
      </c>
      <c r="G19" s="49" t="s">
        <v>344</v>
      </c>
      <c r="H19" s="49" t="s">
        <v>345</v>
      </c>
      <c r="I19" s="49" t="s">
        <v>346</v>
      </c>
      <c r="J19" s="49" t="s">
        <v>347</v>
      </c>
      <c r="K19" s="50" t="s">
        <v>340</v>
      </c>
    </row>
    <row r="20" customFormat="false" ht="77.25" hidden="false" customHeight="true" outlineLevel="0" collapsed="false">
      <c r="A20" s="47" t="s">
        <v>348</v>
      </c>
      <c r="B20" s="48" t="s">
        <v>330</v>
      </c>
      <c r="C20" s="48" t="s">
        <v>349</v>
      </c>
      <c r="D20" s="49" t="s">
        <v>350</v>
      </c>
      <c r="E20" s="49" t="s">
        <v>351</v>
      </c>
      <c r="F20" s="49" t="s">
        <v>352</v>
      </c>
      <c r="G20" s="49" t="s">
        <v>353</v>
      </c>
      <c r="H20" s="49" t="s">
        <v>354</v>
      </c>
      <c r="I20" s="49" t="s">
        <v>355</v>
      </c>
      <c r="J20" s="49" t="s">
        <v>356</v>
      </c>
      <c r="K20" s="50" t="s">
        <v>349</v>
      </c>
    </row>
    <row r="21" customFormat="false" ht="154.5" hidden="false" customHeight="true" outlineLevel="0" collapsed="false">
      <c r="A21" s="47" t="s">
        <v>357</v>
      </c>
      <c r="B21" s="48" t="s">
        <v>330</v>
      </c>
      <c r="C21" s="48" t="s">
        <v>358</v>
      </c>
      <c r="D21" s="49" t="s">
        <v>359</v>
      </c>
      <c r="E21" s="49" t="s">
        <v>360</v>
      </c>
      <c r="F21" s="49" t="s">
        <v>361</v>
      </c>
      <c r="G21" s="49" t="s">
        <v>362</v>
      </c>
      <c r="H21" s="49" t="s">
        <v>363</v>
      </c>
      <c r="I21" s="49" t="s">
        <v>364</v>
      </c>
      <c r="J21" s="49" t="s">
        <v>365</v>
      </c>
      <c r="K21" s="50" t="s">
        <v>358</v>
      </c>
    </row>
    <row r="22" customFormat="false" ht="61.5" hidden="false" customHeight="true" outlineLevel="0" collapsed="false">
      <c r="A22" s="47" t="s">
        <v>366</v>
      </c>
      <c r="B22" s="48" t="s">
        <v>330</v>
      </c>
      <c r="C22" s="48" t="s">
        <v>367</v>
      </c>
      <c r="D22" s="49" t="s">
        <v>368</v>
      </c>
      <c r="E22" s="49" t="s">
        <v>369</v>
      </c>
      <c r="F22" s="49" t="s">
        <v>370</v>
      </c>
      <c r="G22" s="49" t="s">
        <v>371</v>
      </c>
      <c r="H22" s="49" t="s">
        <v>372</v>
      </c>
      <c r="I22" s="49" t="s">
        <v>373</v>
      </c>
      <c r="J22" s="49" t="s">
        <v>374</v>
      </c>
      <c r="K22" s="50" t="s">
        <v>367</v>
      </c>
    </row>
    <row r="23" customFormat="false" ht="61.5" hidden="false" customHeight="true" outlineLevel="0" collapsed="false">
      <c r="A23" s="47" t="s">
        <v>375</v>
      </c>
      <c r="B23" s="48" t="s">
        <v>376</v>
      </c>
      <c r="C23" s="48" t="s">
        <v>377</v>
      </c>
      <c r="D23" s="49" t="s">
        <v>378</v>
      </c>
      <c r="E23" s="49" t="s">
        <v>379</v>
      </c>
      <c r="F23" s="49" t="s">
        <v>380</v>
      </c>
      <c r="G23" s="49" t="s">
        <v>381</v>
      </c>
      <c r="H23" s="49" t="s">
        <v>382</v>
      </c>
      <c r="I23" s="49" t="s">
        <v>383</v>
      </c>
      <c r="J23" s="49" t="s">
        <v>384</v>
      </c>
      <c r="K23" s="50" t="s">
        <v>377</v>
      </c>
    </row>
    <row r="24" customFormat="false" ht="108" hidden="false" customHeight="true" outlineLevel="0" collapsed="false">
      <c r="A24" s="47" t="s">
        <v>385</v>
      </c>
      <c r="B24" s="48" t="s">
        <v>376</v>
      </c>
      <c r="C24" s="48" t="s">
        <v>386</v>
      </c>
      <c r="D24" s="49" t="s">
        <v>387</v>
      </c>
      <c r="E24" s="49" t="s">
        <v>388</v>
      </c>
      <c r="F24" s="49" t="s">
        <v>389</v>
      </c>
      <c r="G24" s="49" t="s">
        <v>390</v>
      </c>
      <c r="H24" s="49" t="s">
        <v>391</v>
      </c>
      <c r="I24" s="49" t="s">
        <v>392</v>
      </c>
      <c r="J24" s="49" t="s">
        <v>393</v>
      </c>
      <c r="K24" s="50" t="s">
        <v>386</v>
      </c>
    </row>
    <row r="25" customFormat="false" ht="15" hidden="false" customHeight="true" outlineLevel="0" collapsed="false">
      <c r="A25" s="70" t="s">
        <v>1827</v>
      </c>
      <c r="B25" s="70"/>
      <c r="C25" s="70"/>
      <c r="D25" s="70"/>
      <c r="E25" s="70"/>
      <c r="F25" s="70"/>
      <c r="G25" s="70"/>
      <c r="H25" s="70"/>
      <c r="I25" s="70"/>
      <c r="J25" s="70"/>
      <c r="K25" s="70"/>
    </row>
    <row r="26" customFormat="false" ht="77.25" hidden="false" customHeight="true" outlineLevel="0" collapsed="false">
      <c r="A26" s="47" t="s">
        <v>394</v>
      </c>
      <c r="B26" s="50" t="s">
        <v>395</v>
      </c>
      <c r="C26" s="50" t="s">
        <v>396</v>
      </c>
      <c r="D26" s="49" t="s">
        <v>397</v>
      </c>
      <c r="E26" s="49" t="s">
        <v>398</v>
      </c>
      <c r="F26" s="49" t="s">
        <v>399</v>
      </c>
      <c r="G26" s="49" t="s">
        <v>400</v>
      </c>
      <c r="H26" s="49" t="s">
        <v>401</v>
      </c>
      <c r="I26" s="49" t="s">
        <v>402</v>
      </c>
      <c r="J26" s="49" t="s">
        <v>403</v>
      </c>
      <c r="K26" s="50" t="s">
        <v>396</v>
      </c>
    </row>
    <row r="27" customFormat="false" ht="61.5" hidden="false" customHeight="true" outlineLevel="0" collapsed="false">
      <c r="A27" s="47" t="s">
        <v>404</v>
      </c>
      <c r="B27" s="50" t="s">
        <v>395</v>
      </c>
      <c r="C27" s="50" t="s">
        <v>405</v>
      </c>
      <c r="D27" s="49" t="s">
        <v>406</v>
      </c>
      <c r="E27" s="49" t="s">
        <v>407</v>
      </c>
      <c r="F27" s="49" t="s">
        <v>408</v>
      </c>
      <c r="G27" s="49" t="s">
        <v>409</v>
      </c>
      <c r="H27" s="49" t="s">
        <v>410</v>
      </c>
      <c r="I27" s="49" t="s">
        <v>411</v>
      </c>
      <c r="J27" s="49" t="s">
        <v>412</v>
      </c>
      <c r="K27" s="50" t="s">
        <v>405</v>
      </c>
    </row>
    <row r="28" customFormat="false" ht="77.25" hidden="false" customHeight="true" outlineLevel="0" collapsed="false">
      <c r="A28" s="47" t="s">
        <v>413</v>
      </c>
      <c r="B28" s="50" t="s">
        <v>395</v>
      </c>
      <c r="C28" s="50" t="s">
        <v>414</v>
      </c>
      <c r="D28" s="49" t="s">
        <v>415</v>
      </c>
      <c r="E28" s="49" t="s">
        <v>416</v>
      </c>
      <c r="F28" s="49" t="s">
        <v>417</v>
      </c>
      <c r="G28" s="49" t="s">
        <v>418</v>
      </c>
      <c r="H28" s="49" t="s">
        <v>419</v>
      </c>
      <c r="I28" s="49" t="s">
        <v>420</v>
      </c>
      <c r="J28" s="49" t="s">
        <v>421</v>
      </c>
      <c r="K28" s="50" t="s">
        <v>414</v>
      </c>
    </row>
    <row r="29" customFormat="false" ht="61.5" hidden="false" customHeight="true" outlineLevel="0" collapsed="false">
      <c r="A29" s="47" t="s">
        <v>422</v>
      </c>
      <c r="B29" s="50" t="s">
        <v>423</v>
      </c>
      <c r="C29" s="50" t="s">
        <v>424</v>
      </c>
      <c r="D29" s="49" t="s">
        <v>425</v>
      </c>
      <c r="E29" s="49" t="s">
        <v>426</v>
      </c>
      <c r="F29" s="49" t="s">
        <v>427</v>
      </c>
      <c r="G29" s="49" t="s">
        <v>428</v>
      </c>
      <c r="H29" s="49" t="s">
        <v>429</v>
      </c>
      <c r="I29" s="49" t="s">
        <v>430</v>
      </c>
      <c r="J29" s="49" t="s">
        <v>431</v>
      </c>
      <c r="K29" s="50" t="s">
        <v>424</v>
      </c>
    </row>
    <row r="30" customFormat="false" ht="77.25" hidden="false" customHeight="true" outlineLevel="0" collapsed="false">
      <c r="A30" s="47" t="s">
        <v>432</v>
      </c>
      <c r="B30" s="50" t="s">
        <v>423</v>
      </c>
      <c r="C30" s="50" t="s">
        <v>433</v>
      </c>
      <c r="D30" s="49" t="s">
        <v>434</v>
      </c>
      <c r="E30" s="49" t="s">
        <v>435</v>
      </c>
      <c r="F30" s="49" t="s">
        <v>436</v>
      </c>
      <c r="G30" s="49" t="s">
        <v>437</v>
      </c>
      <c r="H30" s="49" t="s">
        <v>438</v>
      </c>
      <c r="I30" s="49" t="s">
        <v>439</v>
      </c>
      <c r="J30" s="49" t="s">
        <v>440</v>
      </c>
      <c r="K30" s="50" t="s">
        <v>433</v>
      </c>
    </row>
    <row r="31" customFormat="false" ht="61.5" hidden="false" customHeight="true" outlineLevel="0" collapsed="false">
      <c r="A31" s="47" t="s">
        <v>441</v>
      </c>
      <c r="B31" s="50" t="s">
        <v>423</v>
      </c>
      <c r="C31" s="50" t="s">
        <v>442</v>
      </c>
      <c r="D31" s="49" t="s">
        <v>443</v>
      </c>
      <c r="E31" s="49" t="s">
        <v>444</v>
      </c>
      <c r="F31" s="49" t="s">
        <v>445</v>
      </c>
      <c r="G31" s="49" t="s">
        <v>446</v>
      </c>
      <c r="H31" s="49" t="s">
        <v>447</v>
      </c>
      <c r="I31" s="49" t="s">
        <v>448</v>
      </c>
      <c r="J31" s="49" t="s">
        <v>449</v>
      </c>
      <c r="K31" s="50" t="s">
        <v>442</v>
      </c>
    </row>
    <row r="32" customFormat="false" ht="77.25" hidden="false" customHeight="true" outlineLevel="0" collapsed="false">
      <c r="A32" s="47" t="s">
        <v>450</v>
      </c>
      <c r="B32" s="50" t="s">
        <v>451</v>
      </c>
      <c r="C32" s="50" t="s">
        <v>452</v>
      </c>
      <c r="D32" s="49" t="s">
        <v>453</v>
      </c>
      <c r="E32" s="49" t="s">
        <v>454</v>
      </c>
      <c r="F32" s="49" t="s">
        <v>455</v>
      </c>
      <c r="G32" s="49" t="s">
        <v>456</v>
      </c>
      <c r="H32" s="49" t="s">
        <v>457</v>
      </c>
      <c r="I32" s="49" t="s">
        <v>458</v>
      </c>
      <c r="J32" s="49" t="s">
        <v>459</v>
      </c>
      <c r="K32" s="50" t="s">
        <v>452</v>
      </c>
    </row>
    <row r="33" customFormat="false" ht="61.5" hidden="false" customHeight="true" outlineLevel="0" collapsed="false">
      <c r="A33" s="47" t="s">
        <v>460</v>
      </c>
      <c r="B33" s="50" t="s">
        <v>451</v>
      </c>
      <c r="C33" s="50" t="s">
        <v>461</v>
      </c>
      <c r="D33" s="49" t="s">
        <v>462</v>
      </c>
      <c r="E33" s="49" t="s">
        <v>463</v>
      </c>
      <c r="F33" s="49" t="s">
        <v>464</v>
      </c>
      <c r="G33" s="49" t="s">
        <v>465</v>
      </c>
      <c r="H33" s="49" t="s">
        <v>466</v>
      </c>
      <c r="I33" s="49" t="s">
        <v>467</v>
      </c>
      <c r="J33" s="49" t="s">
        <v>468</v>
      </c>
      <c r="K33" s="50" t="s">
        <v>461</v>
      </c>
    </row>
    <row r="34" customFormat="false" ht="61.5" hidden="false" customHeight="true" outlineLevel="0" collapsed="false">
      <c r="A34" s="47" t="s">
        <v>469</v>
      </c>
      <c r="B34" s="50" t="s">
        <v>451</v>
      </c>
      <c r="C34" s="50" t="s">
        <v>470</v>
      </c>
      <c r="D34" s="49" t="s">
        <v>471</v>
      </c>
      <c r="E34" s="49" t="s">
        <v>472</v>
      </c>
      <c r="F34" s="49" t="s">
        <v>473</v>
      </c>
      <c r="G34" s="49" t="s">
        <v>474</v>
      </c>
      <c r="H34" s="49" t="s">
        <v>475</v>
      </c>
      <c r="I34" s="49" t="s">
        <v>476</v>
      </c>
      <c r="J34" s="49" t="s">
        <v>477</v>
      </c>
      <c r="K34" s="50" t="s">
        <v>470</v>
      </c>
    </row>
    <row r="35" customFormat="false" ht="77.25" hidden="false" customHeight="true" outlineLevel="0" collapsed="false">
      <c r="A35" s="47" t="s">
        <v>478</v>
      </c>
      <c r="B35" s="50" t="s">
        <v>479</v>
      </c>
      <c r="C35" s="50" t="s">
        <v>480</v>
      </c>
      <c r="D35" s="49" t="s">
        <v>481</v>
      </c>
      <c r="E35" s="49" t="s">
        <v>482</v>
      </c>
      <c r="F35" s="49" t="s">
        <v>483</v>
      </c>
      <c r="G35" s="49" t="s">
        <v>484</v>
      </c>
      <c r="H35" s="49" t="s">
        <v>485</v>
      </c>
      <c r="I35" s="49" t="s">
        <v>486</v>
      </c>
      <c r="J35" s="49" t="s">
        <v>487</v>
      </c>
      <c r="K35" s="50" t="s">
        <v>480</v>
      </c>
    </row>
    <row r="36" customFormat="false" ht="123.75" hidden="false" customHeight="true" outlineLevel="0" collapsed="false">
      <c r="A36" s="47" t="s">
        <v>488</v>
      </c>
      <c r="B36" s="50" t="s">
        <v>479</v>
      </c>
      <c r="C36" s="50" t="s">
        <v>489</v>
      </c>
      <c r="D36" s="49" t="s">
        <v>490</v>
      </c>
      <c r="E36" s="49" t="s">
        <v>491</v>
      </c>
      <c r="F36" s="49" t="s">
        <v>492</v>
      </c>
      <c r="G36" s="49" t="s">
        <v>493</v>
      </c>
      <c r="H36" s="49" t="s">
        <v>494</v>
      </c>
      <c r="I36" s="49" t="s">
        <v>495</v>
      </c>
      <c r="J36" s="49" t="s">
        <v>496</v>
      </c>
      <c r="K36" s="50" t="s">
        <v>489</v>
      </c>
    </row>
    <row r="37" customFormat="false" ht="61.5" hidden="false" customHeight="true" outlineLevel="0" collapsed="false">
      <c r="A37" s="47" t="s">
        <v>497</v>
      </c>
      <c r="B37" s="50" t="s">
        <v>479</v>
      </c>
      <c r="C37" s="50" t="s">
        <v>498</v>
      </c>
      <c r="D37" s="49" t="s">
        <v>499</v>
      </c>
      <c r="E37" s="49" t="s">
        <v>500</v>
      </c>
      <c r="F37" s="49" t="s">
        <v>501</v>
      </c>
      <c r="G37" s="49" t="s">
        <v>502</v>
      </c>
      <c r="H37" s="49" t="s">
        <v>503</v>
      </c>
      <c r="I37" s="49" t="s">
        <v>504</v>
      </c>
      <c r="J37" s="49" t="s">
        <v>505</v>
      </c>
      <c r="K37" s="50" t="s">
        <v>498</v>
      </c>
    </row>
    <row r="38" customFormat="false" ht="61.5" hidden="false" customHeight="true" outlineLevel="0" collapsed="false">
      <c r="A38" s="47" t="s">
        <v>506</v>
      </c>
      <c r="B38" s="50" t="s">
        <v>507</v>
      </c>
      <c r="C38" s="50" t="s">
        <v>508</v>
      </c>
      <c r="D38" s="49" t="s">
        <v>509</v>
      </c>
      <c r="E38" s="49" t="s">
        <v>510</v>
      </c>
      <c r="F38" s="49" t="s">
        <v>511</v>
      </c>
      <c r="G38" s="49" t="s">
        <v>512</v>
      </c>
      <c r="H38" s="49" t="s">
        <v>513</v>
      </c>
      <c r="I38" s="49" t="s">
        <v>514</v>
      </c>
      <c r="J38" s="49" t="s">
        <v>515</v>
      </c>
      <c r="K38" s="50" t="s">
        <v>508</v>
      </c>
    </row>
    <row r="39" customFormat="false" ht="93" hidden="false" customHeight="true" outlineLevel="0" collapsed="false">
      <c r="A39" s="47" t="s">
        <v>516</v>
      </c>
      <c r="B39" s="50" t="s">
        <v>507</v>
      </c>
      <c r="C39" s="50" t="s">
        <v>517</v>
      </c>
      <c r="D39" s="49" t="s">
        <v>518</v>
      </c>
      <c r="E39" s="49" t="s">
        <v>519</v>
      </c>
      <c r="F39" s="49" t="s">
        <v>520</v>
      </c>
      <c r="G39" s="49" t="s">
        <v>521</v>
      </c>
      <c r="H39" s="49" t="s">
        <v>522</v>
      </c>
      <c r="I39" s="49" t="s">
        <v>523</v>
      </c>
      <c r="J39" s="49" t="s">
        <v>524</v>
      </c>
      <c r="K39" s="50" t="s">
        <v>517</v>
      </c>
    </row>
    <row r="40" customFormat="false" ht="77.25" hidden="false" customHeight="true" outlineLevel="0" collapsed="false">
      <c r="A40" s="47" t="s">
        <v>525</v>
      </c>
      <c r="B40" s="50" t="s">
        <v>507</v>
      </c>
      <c r="C40" s="50" t="s">
        <v>526</v>
      </c>
      <c r="D40" s="49" t="s">
        <v>527</v>
      </c>
      <c r="E40" s="49" t="s">
        <v>528</v>
      </c>
      <c r="F40" s="49" t="s">
        <v>529</v>
      </c>
      <c r="G40" s="49" t="s">
        <v>530</v>
      </c>
      <c r="H40" s="49" t="s">
        <v>531</v>
      </c>
      <c r="I40" s="49" t="s">
        <v>532</v>
      </c>
      <c r="J40" s="49" t="s">
        <v>533</v>
      </c>
      <c r="K40" s="50" t="s">
        <v>526</v>
      </c>
    </row>
    <row r="41" customFormat="false" ht="46.5" hidden="false" customHeight="true" outlineLevel="0" collapsed="false">
      <c r="A41" s="47" t="s">
        <v>534</v>
      </c>
      <c r="B41" s="50" t="s">
        <v>535</v>
      </c>
      <c r="C41" s="50" t="s">
        <v>536</v>
      </c>
      <c r="D41" s="49" t="s">
        <v>537</v>
      </c>
      <c r="E41" s="49" t="s">
        <v>538</v>
      </c>
      <c r="F41" s="49" t="s">
        <v>539</v>
      </c>
      <c r="G41" s="49" t="s">
        <v>540</v>
      </c>
      <c r="H41" s="49" t="s">
        <v>541</v>
      </c>
      <c r="I41" s="49" t="s">
        <v>542</v>
      </c>
      <c r="J41" s="49" t="s">
        <v>543</v>
      </c>
      <c r="K41" s="50" t="s">
        <v>536</v>
      </c>
    </row>
    <row r="42" customFormat="false" ht="77.25" hidden="false" customHeight="true" outlineLevel="0" collapsed="false">
      <c r="A42" s="47" t="s">
        <v>544</v>
      </c>
      <c r="B42" s="50" t="s">
        <v>535</v>
      </c>
      <c r="C42" s="50" t="s">
        <v>545</v>
      </c>
      <c r="D42" s="49" t="s">
        <v>546</v>
      </c>
      <c r="E42" s="49" t="s">
        <v>547</v>
      </c>
      <c r="F42" s="49" t="s">
        <v>548</v>
      </c>
      <c r="G42" s="49" t="s">
        <v>549</v>
      </c>
      <c r="H42" s="49" t="s">
        <v>550</v>
      </c>
      <c r="I42" s="49" t="s">
        <v>551</v>
      </c>
      <c r="J42" s="49" t="s">
        <v>552</v>
      </c>
      <c r="K42" s="50" t="s">
        <v>545</v>
      </c>
    </row>
    <row r="43" customFormat="false" ht="77.25" hidden="false" customHeight="true" outlineLevel="0" collapsed="false">
      <c r="A43" s="47" t="s">
        <v>553</v>
      </c>
      <c r="B43" s="50" t="s">
        <v>554</v>
      </c>
      <c r="C43" s="50" t="s">
        <v>555</v>
      </c>
      <c r="D43" s="49" t="s">
        <v>556</v>
      </c>
      <c r="E43" s="49" t="s">
        <v>557</v>
      </c>
      <c r="F43" s="49" t="s">
        <v>558</v>
      </c>
      <c r="G43" s="49" t="s">
        <v>559</v>
      </c>
      <c r="H43" s="49" t="s">
        <v>560</v>
      </c>
      <c r="I43" s="49" t="s">
        <v>561</v>
      </c>
      <c r="J43" s="49" t="s">
        <v>562</v>
      </c>
      <c r="K43" s="50" t="s">
        <v>555</v>
      </c>
    </row>
    <row r="44" customFormat="false" ht="61.5" hidden="false" customHeight="true" outlineLevel="0" collapsed="false">
      <c r="A44" s="47" t="s">
        <v>563</v>
      </c>
      <c r="B44" s="50" t="s">
        <v>554</v>
      </c>
      <c r="C44" s="50" t="s">
        <v>564</v>
      </c>
      <c r="D44" s="49" t="s">
        <v>565</v>
      </c>
      <c r="E44" s="49" t="s">
        <v>566</v>
      </c>
      <c r="F44" s="49" t="s">
        <v>567</v>
      </c>
      <c r="G44" s="49" t="s">
        <v>568</v>
      </c>
      <c r="H44" s="49" t="s">
        <v>569</v>
      </c>
      <c r="I44" s="49" t="s">
        <v>570</v>
      </c>
      <c r="J44" s="49" t="s">
        <v>571</v>
      </c>
      <c r="K44" s="50" t="s">
        <v>564</v>
      </c>
    </row>
    <row r="45" customFormat="false" ht="93" hidden="false" customHeight="true" outlineLevel="0" collapsed="false">
      <c r="A45" s="47" t="s">
        <v>572</v>
      </c>
      <c r="B45" s="50" t="s">
        <v>554</v>
      </c>
      <c r="C45" s="50" t="s">
        <v>573</v>
      </c>
      <c r="D45" s="49" t="s">
        <v>574</v>
      </c>
      <c r="E45" s="49" t="s">
        <v>575</v>
      </c>
      <c r="F45" s="49" t="s">
        <v>576</v>
      </c>
      <c r="G45" s="49" t="s">
        <v>577</v>
      </c>
      <c r="H45" s="49" t="s">
        <v>578</v>
      </c>
      <c r="I45" s="49" t="s">
        <v>579</v>
      </c>
      <c r="J45" s="49" t="s">
        <v>580</v>
      </c>
      <c r="K45" s="50" t="s">
        <v>573</v>
      </c>
    </row>
    <row r="46" customFormat="false" ht="93" hidden="false" customHeight="true" outlineLevel="0" collapsed="false">
      <c r="A46" s="47" t="s">
        <v>581</v>
      </c>
      <c r="B46" s="50" t="s">
        <v>582</v>
      </c>
      <c r="C46" s="50" t="s">
        <v>583</v>
      </c>
      <c r="D46" s="49" t="s">
        <v>584</v>
      </c>
      <c r="E46" s="49" t="s">
        <v>585</v>
      </c>
      <c r="F46" s="49" t="s">
        <v>586</v>
      </c>
      <c r="G46" s="49" t="s">
        <v>587</v>
      </c>
      <c r="H46" s="49" t="s">
        <v>588</v>
      </c>
      <c r="I46" s="49" t="s">
        <v>589</v>
      </c>
      <c r="J46" s="49" t="s">
        <v>590</v>
      </c>
      <c r="K46" s="50" t="s">
        <v>583</v>
      </c>
    </row>
    <row r="47" customFormat="false" ht="61.5" hidden="false" customHeight="true" outlineLevel="0" collapsed="false">
      <c r="A47" s="47" t="s">
        <v>591</v>
      </c>
      <c r="B47" s="50" t="s">
        <v>582</v>
      </c>
      <c r="C47" s="50" t="s">
        <v>592</v>
      </c>
      <c r="D47" s="49" t="s">
        <v>593</v>
      </c>
      <c r="E47" s="49" t="s">
        <v>594</v>
      </c>
      <c r="F47" s="49" t="s">
        <v>595</v>
      </c>
      <c r="G47" s="49" t="s">
        <v>596</v>
      </c>
      <c r="H47" s="49" t="s">
        <v>597</v>
      </c>
      <c r="I47" s="49" t="s">
        <v>598</v>
      </c>
      <c r="J47" s="49" t="s">
        <v>599</v>
      </c>
      <c r="K47" s="50" t="s">
        <v>592</v>
      </c>
    </row>
    <row r="48" customFormat="false" ht="15" hidden="false" customHeight="true" outlineLevel="0" collapsed="false">
      <c r="A48" s="70" t="s">
        <v>2202</v>
      </c>
      <c r="B48" s="70"/>
      <c r="C48" s="70"/>
      <c r="D48" s="70"/>
      <c r="E48" s="70"/>
      <c r="F48" s="70"/>
      <c r="G48" s="70"/>
      <c r="H48" s="70"/>
      <c r="I48" s="70"/>
      <c r="J48" s="70"/>
      <c r="K48" s="70"/>
    </row>
    <row r="49" customFormat="false" ht="61.5" hidden="false" customHeight="true" outlineLevel="0" collapsed="false">
      <c r="A49" s="47" t="s">
        <v>600</v>
      </c>
      <c r="B49" s="51" t="s">
        <v>601</v>
      </c>
      <c r="C49" s="51" t="s">
        <v>602</v>
      </c>
      <c r="D49" s="49" t="s">
        <v>603</v>
      </c>
      <c r="E49" s="49" t="s">
        <v>604</v>
      </c>
      <c r="F49" s="49" t="s">
        <v>605</v>
      </c>
      <c r="G49" s="49" t="s">
        <v>606</v>
      </c>
      <c r="H49" s="49" t="s">
        <v>607</v>
      </c>
      <c r="I49" s="49" t="s">
        <v>608</v>
      </c>
      <c r="J49" s="49" t="s">
        <v>609</v>
      </c>
      <c r="K49" s="50" t="s">
        <v>602</v>
      </c>
    </row>
    <row r="50" customFormat="false" ht="77.25" hidden="false" customHeight="true" outlineLevel="0" collapsed="false">
      <c r="A50" s="47" t="s">
        <v>610</v>
      </c>
      <c r="B50" s="51" t="s">
        <v>601</v>
      </c>
      <c r="C50" s="51" t="s">
        <v>611</v>
      </c>
      <c r="D50" s="49" t="s">
        <v>612</v>
      </c>
      <c r="E50" s="49" t="s">
        <v>613</v>
      </c>
      <c r="F50" s="49" t="s">
        <v>614</v>
      </c>
      <c r="G50" s="49" t="s">
        <v>615</v>
      </c>
      <c r="H50" s="49" t="s">
        <v>616</v>
      </c>
      <c r="I50" s="49" t="s">
        <v>617</v>
      </c>
      <c r="J50" s="49" t="s">
        <v>618</v>
      </c>
      <c r="K50" s="50" t="s">
        <v>611</v>
      </c>
    </row>
    <row r="51" customFormat="false" ht="61.5" hidden="false" customHeight="true" outlineLevel="0" collapsed="false">
      <c r="A51" s="47" t="s">
        <v>619</v>
      </c>
      <c r="B51" s="51" t="s">
        <v>620</v>
      </c>
      <c r="C51" s="51" t="s">
        <v>621</v>
      </c>
      <c r="D51" s="49" t="s">
        <v>622</v>
      </c>
      <c r="E51" s="49" t="s">
        <v>623</v>
      </c>
      <c r="F51" s="49" t="s">
        <v>624</v>
      </c>
      <c r="G51" s="49" t="s">
        <v>625</v>
      </c>
      <c r="H51" s="49" t="s">
        <v>626</v>
      </c>
      <c r="I51" s="49" t="s">
        <v>627</v>
      </c>
      <c r="J51" s="49" t="s">
        <v>628</v>
      </c>
      <c r="K51" s="50" t="s">
        <v>621</v>
      </c>
    </row>
    <row r="52" customFormat="false" ht="93" hidden="false" customHeight="true" outlineLevel="0" collapsed="false">
      <c r="A52" s="47" t="s">
        <v>629</v>
      </c>
      <c r="B52" s="51" t="s">
        <v>620</v>
      </c>
      <c r="C52" s="51" t="s">
        <v>630</v>
      </c>
      <c r="D52" s="49" t="s">
        <v>631</v>
      </c>
      <c r="E52" s="49" t="s">
        <v>632</v>
      </c>
      <c r="F52" s="49" t="s">
        <v>633</v>
      </c>
      <c r="G52" s="49" t="s">
        <v>634</v>
      </c>
      <c r="H52" s="49" t="s">
        <v>635</v>
      </c>
      <c r="I52" s="49" t="s">
        <v>636</v>
      </c>
      <c r="J52" s="49" t="s">
        <v>637</v>
      </c>
      <c r="K52" s="50" t="s">
        <v>630</v>
      </c>
    </row>
    <row r="53" customFormat="false" ht="61.5" hidden="false" customHeight="true" outlineLevel="0" collapsed="false">
      <c r="A53" s="47" t="s">
        <v>638</v>
      </c>
      <c r="B53" s="51" t="s">
        <v>620</v>
      </c>
      <c r="C53" s="51" t="s">
        <v>639</v>
      </c>
      <c r="D53" s="49" t="s">
        <v>640</v>
      </c>
      <c r="E53" s="49" t="s">
        <v>641</v>
      </c>
      <c r="F53" s="49" t="s">
        <v>642</v>
      </c>
      <c r="G53" s="49" t="s">
        <v>643</v>
      </c>
      <c r="H53" s="49" t="s">
        <v>644</v>
      </c>
      <c r="I53" s="49" t="s">
        <v>645</v>
      </c>
      <c r="J53" s="49" t="s">
        <v>646</v>
      </c>
      <c r="K53" s="50" t="s">
        <v>639</v>
      </c>
    </row>
    <row r="54" customFormat="false" ht="77.25" hidden="false" customHeight="true" outlineLevel="0" collapsed="false">
      <c r="A54" s="47" t="s">
        <v>647</v>
      </c>
      <c r="B54" s="51" t="s">
        <v>620</v>
      </c>
      <c r="C54" s="51" t="s">
        <v>648</v>
      </c>
      <c r="D54" s="49" t="s">
        <v>649</v>
      </c>
      <c r="E54" s="49" t="s">
        <v>650</v>
      </c>
      <c r="F54" s="49" t="s">
        <v>651</v>
      </c>
      <c r="G54" s="49" t="s">
        <v>652</v>
      </c>
      <c r="H54" s="49" t="s">
        <v>653</v>
      </c>
      <c r="I54" s="49" t="s">
        <v>654</v>
      </c>
      <c r="J54" s="49" t="s">
        <v>655</v>
      </c>
      <c r="K54" s="50" t="s">
        <v>648</v>
      </c>
    </row>
    <row r="55" customFormat="false" ht="123.75" hidden="false" customHeight="true" outlineLevel="0" collapsed="false">
      <c r="A55" s="47" t="s">
        <v>656</v>
      </c>
      <c r="B55" s="51" t="s">
        <v>620</v>
      </c>
      <c r="C55" s="51" t="s">
        <v>657</v>
      </c>
      <c r="D55" s="49" t="s">
        <v>556</v>
      </c>
      <c r="E55" s="49" t="s">
        <v>658</v>
      </c>
      <c r="F55" s="49" t="s">
        <v>659</v>
      </c>
      <c r="G55" s="49" t="s">
        <v>660</v>
      </c>
      <c r="H55" s="49" t="s">
        <v>661</v>
      </c>
      <c r="I55" s="49" t="s">
        <v>662</v>
      </c>
      <c r="J55" s="49" t="s">
        <v>663</v>
      </c>
      <c r="K55" s="50" t="s">
        <v>657</v>
      </c>
    </row>
    <row r="56" customFormat="false" ht="93" hidden="false" customHeight="true" outlineLevel="0" collapsed="false">
      <c r="A56" s="47" t="s">
        <v>664</v>
      </c>
      <c r="B56" s="51" t="s">
        <v>665</v>
      </c>
      <c r="C56" s="51" t="s">
        <v>666</v>
      </c>
      <c r="D56" s="49" t="s">
        <v>667</v>
      </c>
      <c r="E56" s="49" t="s">
        <v>668</v>
      </c>
      <c r="F56" s="49" t="s">
        <v>669</v>
      </c>
      <c r="G56" s="49" t="s">
        <v>670</v>
      </c>
      <c r="H56" s="49" t="s">
        <v>671</v>
      </c>
      <c r="I56" s="49" t="s">
        <v>672</v>
      </c>
      <c r="J56" s="49" t="s">
        <v>673</v>
      </c>
      <c r="K56" s="50" t="s">
        <v>666</v>
      </c>
    </row>
    <row r="57" customFormat="false" ht="61.5" hidden="false" customHeight="true" outlineLevel="0" collapsed="false">
      <c r="A57" s="47" t="s">
        <v>674</v>
      </c>
      <c r="B57" s="51" t="s">
        <v>665</v>
      </c>
      <c r="C57" s="51" t="s">
        <v>675</v>
      </c>
      <c r="D57" s="49" t="s">
        <v>676</v>
      </c>
      <c r="E57" s="49" t="s">
        <v>677</v>
      </c>
      <c r="F57" s="49" t="s">
        <v>678</v>
      </c>
      <c r="G57" s="49" t="s">
        <v>679</v>
      </c>
      <c r="H57" s="49" t="s">
        <v>680</v>
      </c>
      <c r="I57" s="49" t="s">
        <v>681</v>
      </c>
      <c r="J57" s="49" t="s">
        <v>682</v>
      </c>
      <c r="K57" s="50" t="s">
        <v>675</v>
      </c>
    </row>
    <row r="58" customFormat="false" ht="77.25" hidden="false" customHeight="true" outlineLevel="0" collapsed="false">
      <c r="A58" s="47" t="s">
        <v>683</v>
      </c>
      <c r="B58" s="51" t="s">
        <v>684</v>
      </c>
      <c r="C58" s="51" t="s">
        <v>685</v>
      </c>
      <c r="D58" s="49" t="s">
        <v>686</v>
      </c>
      <c r="E58" s="49" t="s">
        <v>687</v>
      </c>
      <c r="F58" s="49" t="s">
        <v>688</v>
      </c>
      <c r="G58" s="49" t="s">
        <v>689</v>
      </c>
      <c r="H58" s="49" t="s">
        <v>690</v>
      </c>
      <c r="I58" s="49" t="s">
        <v>691</v>
      </c>
      <c r="J58" s="49" t="s">
        <v>692</v>
      </c>
      <c r="K58" s="50" t="s">
        <v>685</v>
      </c>
    </row>
    <row r="59" customFormat="false" ht="46.5" hidden="false" customHeight="true" outlineLevel="0" collapsed="false">
      <c r="A59" s="47" t="s">
        <v>693</v>
      </c>
      <c r="B59" s="51" t="s">
        <v>684</v>
      </c>
      <c r="C59" s="51" t="s">
        <v>694</v>
      </c>
      <c r="D59" s="49" t="s">
        <v>695</v>
      </c>
      <c r="E59" s="49" t="s">
        <v>696</v>
      </c>
      <c r="F59" s="49" t="s">
        <v>697</v>
      </c>
      <c r="G59" s="49" t="s">
        <v>698</v>
      </c>
      <c r="H59" s="49" t="s">
        <v>694</v>
      </c>
      <c r="I59" s="49" t="s">
        <v>699</v>
      </c>
      <c r="J59" s="49" t="s">
        <v>700</v>
      </c>
      <c r="K59" s="50" t="s">
        <v>694</v>
      </c>
    </row>
    <row r="60" customFormat="false" ht="61.5" hidden="false" customHeight="true" outlineLevel="0" collapsed="false">
      <c r="A60" s="47" t="s">
        <v>701</v>
      </c>
      <c r="B60" s="51" t="s">
        <v>702</v>
      </c>
      <c r="C60" s="51" t="s">
        <v>703</v>
      </c>
      <c r="D60" s="49" t="s">
        <v>704</v>
      </c>
      <c r="E60" s="49" t="s">
        <v>705</v>
      </c>
      <c r="F60" s="49" t="s">
        <v>706</v>
      </c>
      <c r="G60" s="49" t="s">
        <v>707</v>
      </c>
      <c r="H60" s="49" t="s">
        <v>708</v>
      </c>
      <c r="I60" s="49" t="s">
        <v>709</v>
      </c>
      <c r="J60" s="49" t="s">
        <v>710</v>
      </c>
      <c r="K60" s="50" t="s">
        <v>703</v>
      </c>
    </row>
    <row r="61" customFormat="false" ht="77.25" hidden="false" customHeight="true" outlineLevel="0" collapsed="false">
      <c r="A61" s="47" t="s">
        <v>711</v>
      </c>
      <c r="B61" s="51" t="s">
        <v>712</v>
      </c>
      <c r="C61" s="51" t="s">
        <v>713</v>
      </c>
      <c r="D61" s="49" t="s">
        <v>714</v>
      </c>
      <c r="E61" s="49" t="s">
        <v>715</v>
      </c>
      <c r="F61" s="49" t="s">
        <v>716</v>
      </c>
      <c r="G61" s="49" t="s">
        <v>717</v>
      </c>
      <c r="H61" s="49" t="s">
        <v>718</v>
      </c>
      <c r="I61" s="49" t="s">
        <v>719</v>
      </c>
      <c r="J61" s="49" t="s">
        <v>720</v>
      </c>
      <c r="K61" s="50" t="s">
        <v>713</v>
      </c>
    </row>
    <row r="62" customFormat="false" ht="46.5" hidden="false" customHeight="true" outlineLevel="0" collapsed="false">
      <c r="A62" s="47" t="s">
        <v>721</v>
      </c>
      <c r="B62" s="51" t="s">
        <v>722</v>
      </c>
      <c r="C62" s="51" t="s">
        <v>723</v>
      </c>
      <c r="D62" s="49" t="s">
        <v>724</v>
      </c>
      <c r="E62" s="49" t="s">
        <v>725</v>
      </c>
      <c r="F62" s="49" t="s">
        <v>726</v>
      </c>
      <c r="G62" s="49" t="s">
        <v>727</v>
      </c>
      <c r="H62" s="49" t="s">
        <v>723</v>
      </c>
      <c r="I62" s="49" t="s">
        <v>728</v>
      </c>
      <c r="J62" s="49" t="s">
        <v>729</v>
      </c>
      <c r="K62" s="50" t="s">
        <v>723</v>
      </c>
    </row>
    <row r="63" customFormat="false" ht="15" hidden="false" customHeight="true" outlineLevel="0" collapsed="false">
      <c r="A63" s="70" t="s">
        <v>2438</v>
      </c>
      <c r="B63" s="70"/>
      <c r="C63" s="70"/>
      <c r="D63" s="70"/>
      <c r="E63" s="70"/>
      <c r="F63" s="70"/>
      <c r="G63" s="70"/>
      <c r="H63" s="70"/>
      <c r="I63" s="70"/>
      <c r="J63" s="70"/>
      <c r="K63" s="70"/>
    </row>
    <row r="64" customFormat="false" ht="93" hidden="false" customHeight="true" outlineLevel="0" collapsed="false">
      <c r="A64" s="47" t="s">
        <v>730</v>
      </c>
      <c r="B64" s="52" t="s">
        <v>731</v>
      </c>
      <c r="C64" s="52" t="s">
        <v>732</v>
      </c>
      <c r="D64" s="49" t="s">
        <v>733</v>
      </c>
      <c r="E64" s="49" t="s">
        <v>734</v>
      </c>
      <c r="F64" s="49" t="s">
        <v>735</v>
      </c>
      <c r="G64" s="49" t="s">
        <v>736</v>
      </c>
      <c r="H64" s="49" t="s">
        <v>737</v>
      </c>
      <c r="I64" s="49" t="s">
        <v>738</v>
      </c>
      <c r="J64" s="49" t="s">
        <v>739</v>
      </c>
      <c r="K64" s="50" t="s">
        <v>732</v>
      </c>
    </row>
    <row r="65" customFormat="false" ht="77.25" hidden="false" customHeight="true" outlineLevel="0" collapsed="false">
      <c r="A65" s="47" t="s">
        <v>740</v>
      </c>
      <c r="B65" s="52" t="s">
        <v>731</v>
      </c>
      <c r="C65" s="52" t="s">
        <v>741</v>
      </c>
      <c r="D65" s="49" t="s">
        <v>742</v>
      </c>
      <c r="E65" s="49" t="s">
        <v>743</v>
      </c>
      <c r="F65" s="49" t="s">
        <v>744</v>
      </c>
      <c r="G65" s="49" t="s">
        <v>745</v>
      </c>
      <c r="H65" s="49" t="s">
        <v>746</v>
      </c>
      <c r="I65" s="49" t="s">
        <v>747</v>
      </c>
      <c r="J65" s="49" t="s">
        <v>748</v>
      </c>
      <c r="K65" s="50" t="s">
        <v>741</v>
      </c>
    </row>
    <row r="66" customFormat="false" ht="139.5" hidden="false" customHeight="true" outlineLevel="0" collapsed="false">
      <c r="A66" s="47" t="s">
        <v>749</v>
      </c>
      <c r="B66" s="52" t="s">
        <v>750</v>
      </c>
      <c r="C66" s="52" t="s">
        <v>751</v>
      </c>
      <c r="D66" s="49" t="s">
        <v>752</v>
      </c>
      <c r="E66" s="49" t="s">
        <v>753</v>
      </c>
      <c r="F66" s="49" t="s">
        <v>754</v>
      </c>
      <c r="G66" s="49" t="s">
        <v>755</v>
      </c>
      <c r="H66" s="49" t="s">
        <v>756</v>
      </c>
      <c r="I66" s="49" t="s">
        <v>757</v>
      </c>
      <c r="J66" s="49" t="s">
        <v>758</v>
      </c>
      <c r="K66" s="50" t="s">
        <v>751</v>
      </c>
    </row>
    <row r="67" customFormat="false" ht="61.5" hidden="false" customHeight="true" outlineLevel="0" collapsed="false">
      <c r="A67" s="47" t="s">
        <v>759</v>
      </c>
      <c r="B67" s="52" t="s">
        <v>750</v>
      </c>
      <c r="C67" s="52" t="s">
        <v>760</v>
      </c>
      <c r="D67" s="49" t="s">
        <v>761</v>
      </c>
      <c r="E67" s="49" t="s">
        <v>762</v>
      </c>
      <c r="F67" s="49" t="s">
        <v>763</v>
      </c>
      <c r="G67" s="49" t="s">
        <v>764</v>
      </c>
      <c r="H67" s="49" t="s">
        <v>765</v>
      </c>
      <c r="I67" s="49" t="s">
        <v>766</v>
      </c>
      <c r="J67" s="49" t="s">
        <v>767</v>
      </c>
      <c r="K67" s="50" t="s">
        <v>760</v>
      </c>
    </row>
    <row r="68" customFormat="false" ht="77.25" hidden="false" customHeight="true" outlineLevel="0" collapsed="false">
      <c r="A68" s="47" t="s">
        <v>768</v>
      </c>
      <c r="B68" s="52" t="s">
        <v>769</v>
      </c>
      <c r="C68" s="52" t="s">
        <v>770</v>
      </c>
      <c r="D68" s="49" t="s">
        <v>771</v>
      </c>
      <c r="E68" s="49" t="s">
        <v>772</v>
      </c>
      <c r="F68" s="49" t="s">
        <v>773</v>
      </c>
      <c r="G68" s="49" t="s">
        <v>774</v>
      </c>
      <c r="H68" s="49" t="s">
        <v>775</v>
      </c>
      <c r="I68" s="49" t="s">
        <v>776</v>
      </c>
      <c r="J68" s="49" t="s">
        <v>777</v>
      </c>
      <c r="K68" s="50" t="s">
        <v>770</v>
      </c>
    </row>
    <row r="69" customFormat="false" ht="61.5" hidden="false" customHeight="true" outlineLevel="0" collapsed="false">
      <c r="A69" s="47" t="s">
        <v>778</v>
      </c>
      <c r="B69" s="52" t="s">
        <v>769</v>
      </c>
      <c r="C69" s="52" t="s">
        <v>779</v>
      </c>
      <c r="D69" s="49" t="s">
        <v>780</v>
      </c>
      <c r="E69" s="49" t="s">
        <v>781</v>
      </c>
      <c r="F69" s="49" t="s">
        <v>782</v>
      </c>
      <c r="G69" s="49" t="s">
        <v>783</v>
      </c>
      <c r="H69" s="49" t="s">
        <v>784</v>
      </c>
      <c r="I69" s="49" t="s">
        <v>785</v>
      </c>
      <c r="J69" s="49" t="s">
        <v>786</v>
      </c>
      <c r="K69" s="50" t="s">
        <v>779</v>
      </c>
    </row>
    <row r="70" customFormat="false" ht="46.5" hidden="false" customHeight="true" outlineLevel="0" collapsed="false">
      <c r="A70" s="47" t="s">
        <v>787</v>
      </c>
      <c r="B70" s="52" t="s">
        <v>769</v>
      </c>
      <c r="C70" s="52" t="s">
        <v>788</v>
      </c>
      <c r="D70" s="49" t="s">
        <v>789</v>
      </c>
      <c r="E70" s="49" t="s">
        <v>790</v>
      </c>
      <c r="F70" s="49" t="s">
        <v>791</v>
      </c>
      <c r="G70" s="49" t="s">
        <v>792</v>
      </c>
      <c r="H70" s="49" t="s">
        <v>793</v>
      </c>
      <c r="I70" s="49" t="s">
        <v>794</v>
      </c>
      <c r="J70" s="49" t="s">
        <v>795</v>
      </c>
      <c r="K70" s="50" t="s">
        <v>788</v>
      </c>
    </row>
    <row r="71" customFormat="false" ht="61.5" hidden="false" customHeight="true" outlineLevel="0" collapsed="false">
      <c r="A71" s="47" t="s">
        <v>796</v>
      </c>
      <c r="B71" s="52" t="s">
        <v>769</v>
      </c>
      <c r="C71" s="52" t="s">
        <v>797</v>
      </c>
      <c r="D71" s="49" t="s">
        <v>798</v>
      </c>
      <c r="E71" s="49" t="s">
        <v>799</v>
      </c>
      <c r="F71" s="49" t="s">
        <v>800</v>
      </c>
      <c r="G71" s="49" t="s">
        <v>801</v>
      </c>
      <c r="H71" s="49" t="s">
        <v>802</v>
      </c>
      <c r="I71" s="49" t="s">
        <v>803</v>
      </c>
      <c r="J71" s="49" t="s">
        <v>804</v>
      </c>
      <c r="K71" s="50" t="s">
        <v>797</v>
      </c>
    </row>
    <row r="72" customFormat="false" ht="77.25" hidden="false" customHeight="true" outlineLevel="0" collapsed="false">
      <c r="A72" s="47" t="s">
        <v>805</v>
      </c>
      <c r="B72" s="52" t="s">
        <v>769</v>
      </c>
      <c r="C72" s="52" t="s">
        <v>806</v>
      </c>
      <c r="D72" s="49" t="s">
        <v>807</v>
      </c>
      <c r="E72" s="49" t="s">
        <v>808</v>
      </c>
      <c r="F72" s="49" t="s">
        <v>809</v>
      </c>
      <c r="G72" s="49" t="s">
        <v>810</v>
      </c>
      <c r="H72" s="49" t="s">
        <v>811</v>
      </c>
      <c r="I72" s="49" t="s">
        <v>812</v>
      </c>
      <c r="J72" s="49" t="s">
        <v>813</v>
      </c>
      <c r="K72" s="50" t="s">
        <v>806</v>
      </c>
    </row>
    <row r="73" customFormat="false" ht="61.5" hidden="false" customHeight="true" outlineLevel="0" collapsed="false">
      <c r="A73" s="47" t="s">
        <v>814</v>
      </c>
      <c r="B73" s="52" t="s">
        <v>815</v>
      </c>
      <c r="C73" s="52" t="s">
        <v>816</v>
      </c>
      <c r="D73" s="49" t="s">
        <v>817</v>
      </c>
      <c r="E73" s="49" t="s">
        <v>818</v>
      </c>
      <c r="F73" s="49" t="s">
        <v>819</v>
      </c>
      <c r="G73" s="49" t="s">
        <v>820</v>
      </c>
      <c r="H73" s="49" t="s">
        <v>821</v>
      </c>
      <c r="I73" s="49" t="s">
        <v>822</v>
      </c>
      <c r="J73" s="49" t="s">
        <v>823</v>
      </c>
      <c r="K73" s="50" t="s">
        <v>816</v>
      </c>
    </row>
    <row r="74" customFormat="false" ht="61.5" hidden="false" customHeight="true" outlineLevel="0" collapsed="false">
      <c r="A74" s="47" t="s">
        <v>824</v>
      </c>
      <c r="B74" s="52" t="s">
        <v>815</v>
      </c>
      <c r="C74" s="52" t="s">
        <v>825</v>
      </c>
      <c r="D74" s="49" t="s">
        <v>826</v>
      </c>
      <c r="E74" s="49" t="s">
        <v>827</v>
      </c>
      <c r="F74" s="49" t="s">
        <v>828</v>
      </c>
      <c r="G74" s="49" t="s">
        <v>829</v>
      </c>
      <c r="H74" s="49" t="s">
        <v>830</v>
      </c>
      <c r="I74" s="49" t="s">
        <v>831</v>
      </c>
      <c r="J74" s="49" t="s">
        <v>832</v>
      </c>
      <c r="K74" s="50" t="s">
        <v>825</v>
      </c>
    </row>
    <row r="75" customFormat="false" ht="46.5" hidden="false" customHeight="true" outlineLevel="0" collapsed="false">
      <c r="A75" s="47" t="s">
        <v>833</v>
      </c>
      <c r="B75" s="52" t="s">
        <v>815</v>
      </c>
      <c r="C75" s="52" t="s">
        <v>834</v>
      </c>
      <c r="D75" s="49" t="s">
        <v>835</v>
      </c>
      <c r="E75" s="49" t="s">
        <v>836</v>
      </c>
      <c r="F75" s="49" t="s">
        <v>837</v>
      </c>
      <c r="G75" s="49" t="s">
        <v>838</v>
      </c>
      <c r="H75" s="49" t="s">
        <v>839</v>
      </c>
      <c r="I75" s="49" t="s">
        <v>840</v>
      </c>
      <c r="J75" s="49" t="s">
        <v>841</v>
      </c>
      <c r="K75" s="50" t="s">
        <v>834</v>
      </c>
    </row>
    <row r="76" customFormat="false" ht="77.25" hidden="false" customHeight="true" outlineLevel="0" collapsed="false">
      <c r="A76" s="47" t="s">
        <v>842</v>
      </c>
      <c r="B76" s="52" t="s">
        <v>843</v>
      </c>
      <c r="C76" s="52" t="s">
        <v>844</v>
      </c>
      <c r="D76" s="49" t="s">
        <v>845</v>
      </c>
      <c r="E76" s="49" t="s">
        <v>846</v>
      </c>
      <c r="F76" s="49" t="s">
        <v>847</v>
      </c>
      <c r="G76" s="49" t="s">
        <v>848</v>
      </c>
      <c r="H76" s="49" t="s">
        <v>849</v>
      </c>
      <c r="I76" s="49" t="s">
        <v>850</v>
      </c>
      <c r="J76" s="49" t="s">
        <v>851</v>
      </c>
      <c r="K76" s="50" t="s">
        <v>844</v>
      </c>
    </row>
    <row r="77" customFormat="false" ht="77.25" hidden="false" customHeight="true" outlineLevel="0" collapsed="false">
      <c r="A77" s="47" t="s">
        <v>852</v>
      </c>
      <c r="B77" s="52" t="s">
        <v>843</v>
      </c>
      <c r="C77" s="52" t="s">
        <v>853</v>
      </c>
      <c r="D77" s="49" t="s">
        <v>854</v>
      </c>
      <c r="E77" s="49" t="s">
        <v>855</v>
      </c>
      <c r="F77" s="49" t="s">
        <v>856</v>
      </c>
      <c r="G77" s="49" t="s">
        <v>857</v>
      </c>
      <c r="H77" s="49" t="s">
        <v>858</v>
      </c>
      <c r="I77" s="49" t="s">
        <v>859</v>
      </c>
      <c r="J77" s="49" t="s">
        <v>860</v>
      </c>
      <c r="K77" s="50" t="s">
        <v>853</v>
      </c>
    </row>
    <row r="78" customFormat="false" ht="139.5" hidden="false" customHeight="true" outlineLevel="0" collapsed="false">
      <c r="A78" s="47" t="s">
        <v>861</v>
      </c>
      <c r="B78" s="52" t="s">
        <v>862</v>
      </c>
      <c r="C78" s="52" t="s">
        <v>863</v>
      </c>
      <c r="D78" s="49" t="s">
        <v>864</v>
      </c>
      <c r="E78" s="49" t="s">
        <v>865</v>
      </c>
      <c r="F78" s="49" t="s">
        <v>866</v>
      </c>
      <c r="G78" s="49" t="s">
        <v>867</v>
      </c>
      <c r="H78" s="49" t="s">
        <v>868</v>
      </c>
      <c r="I78" s="49" t="s">
        <v>869</v>
      </c>
      <c r="J78" s="49" t="s">
        <v>870</v>
      </c>
      <c r="K78" s="50" t="s">
        <v>863</v>
      </c>
    </row>
    <row r="79" customFormat="false" ht="93" hidden="false" customHeight="true" outlineLevel="0" collapsed="false">
      <c r="A79" s="47" t="s">
        <v>871</v>
      </c>
      <c r="B79" s="52" t="s">
        <v>862</v>
      </c>
      <c r="C79" s="52" t="s">
        <v>872</v>
      </c>
      <c r="D79" s="49" t="s">
        <v>873</v>
      </c>
      <c r="E79" s="49" t="s">
        <v>874</v>
      </c>
      <c r="F79" s="49" t="s">
        <v>875</v>
      </c>
      <c r="G79" s="49" t="s">
        <v>876</v>
      </c>
      <c r="H79" s="49" t="s">
        <v>877</v>
      </c>
      <c r="I79" s="49" t="s">
        <v>878</v>
      </c>
      <c r="J79" s="49" t="s">
        <v>879</v>
      </c>
      <c r="K79" s="50" t="s">
        <v>872</v>
      </c>
    </row>
    <row r="80" customFormat="false" ht="15" hidden="false" customHeight="true" outlineLevel="0" collapsed="false">
      <c r="A80" s="70" t="s">
        <v>2711</v>
      </c>
      <c r="B80" s="70"/>
      <c r="C80" s="70"/>
      <c r="D80" s="70"/>
      <c r="E80" s="70"/>
      <c r="F80" s="70"/>
      <c r="G80" s="70"/>
      <c r="H80" s="70"/>
      <c r="I80" s="70"/>
      <c r="J80" s="70"/>
      <c r="K80" s="70"/>
    </row>
    <row r="81" customFormat="false" ht="170.25" hidden="false" customHeight="true" outlineLevel="0" collapsed="false">
      <c r="A81" s="47" t="s">
        <v>880</v>
      </c>
      <c r="B81" s="53" t="s">
        <v>881</v>
      </c>
      <c r="C81" s="53" t="s">
        <v>882</v>
      </c>
      <c r="D81" s="49" t="s">
        <v>883</v>
      </c>
      <c r="E81" s="49" t="s">
        <v>884</v>
      </c>
      <c r="F81" s="49" t="s">
        <v>885</v>
      </c>
      <c r="G81" s="49" t="s">
        <v>886</v>
      </c>
      <c r="H81" s="49" t="s">
        <v>887</v>
      </c>
      <c r="I81" s="49" t="s">
        <v>888</v>
      </c>
      <c r="J81" s="49" t="s">
        <v>889</v>
      </c>
      <c r="K81" s="50" t="s">
        <v>882</v>
      </c>
    </row>
    <row r="82" customFormat="false" ht="77.25" hidden="false" customHeight="true" outlineLevel="0" collapsed="false">
      <c r="A82" s="47" t="s">
        <v>890</v>
      </c>
      <c r="B82" s="53" t="s">
        <v>891</v>
      </c>
      <c r="C82" s="53" t="s">
        <v>892</v>
      </c>
      <c r="D82" s="49" t="s">
        <v>893</v>
      </c>
      <c r="E82" s="49" t="s">
        <v>894</v>
      </c>
      <c r="F82" s="49" t="s">
        <v>895</v>
      </c>
      <c r="G82" s="49" t="s">
        <v>896</v>
      </c>
      <c r="H82" s="49" t="s">
        <v>897</v>
      </c>
      <c r="I82" s="49" t="s">
        <v>898</v>
      </c>
      <c r="J82" s="49" t="s">
        <v>899</v>
      </c>
      <c r="K82" s="50" t="s">
        <v>892</v>
      </c>
    </row>
    <row r="83" customFormat="false" ht="77.25" hidden="false" customHeight="true" outlineLevel="0" collapsed="false">
      <c r="A83" s="47" t="s">
        <v>900</v>
      </c>
      <c r="B83" s="53" t="s">
        <v>891</v>
      </c>
      <c r="C83" s="53" t="s">
        <v>901</v>
      </c>
      <c r="D83" s="49" t="s">
        <v>902</v>
      </c>
      <c r="E83" s="49" t="s">
        <v>903</v>
      </c>
      <c r="F83" s="49" t="s">
        <v>904</v>
      </c>
      <c r="G83" s="49" t="s">
        <v>905</v>
      </c>
      <c r="H83" s="49" t="s">
        <v>906</v>
      </c>
      <c r="I83" s="49" t="s">
        <v>907</v>
      </c>
      <c r="J83" s="49" t="s">
        <v>908</v>
      </c>
      <c r="K83" s="50" t="s">
        <v>901</v>
      </c>
    </row>
    <row r="84" customFormat="false" ht="93" hidden="false" customHeight="true" outlineLevel="0" collapsed="false">
      <c r="A84" s="47" t="s">
        <v>909</v>
      </c>
      <c r="B84" s="53" t="s">
        <v>891</v>
      </c>
      <c r="C84" s="53" t="s">
        <v>910</v>
      </c>
      <c r="D84" s="49" t="s">
        <v>911</v>
      </c>
      <c r="E84" s="49" t="s">
        <v>912</v>
      </c>
      <c r="F84" s="49" t="s">
        <v>913</v>
      </c>
      <c r="G84" s="49" t="s">
        <v>914</v>
      </c>
      <c r="H84" s="49" t="s">
        <v>915</v>
      </c>
      <c r="I84" s="49" t="s">
        <v>916</v>
      </c>
      <c r="J84" s="49" t="s">
        <v>917</v>
      </c>
      <c r="K84" s="50" t="s">
        <v>910</v>
      </c>
    </row>
    <row r="85" customFormat="false" ht="77.25" hidden="false" customHeight="true" outlineLevel="0" collapsed="false">
      <c r="A85" s="47" t="s">
        <v>918</v>
      </c>
      <c r="B85" s="53" t="s">
        <v>891</v>
      </c>
      <c r="C85" s="53" t="s">
        <v>919</v>
      </c>
      <c r="D85" s="49" t="s">
        <v>920</v>
      </c>
      <c r="E85" s="49" t="s">
        <v>921</v>
      </c>
      <c r="F85" s="49" t="s">
        <v>922</v>
      </c>
      <c r="G85" s="49" t="s">
        <v>923</v>
      </c>
      <c r="H85" s="49" t="s">
        <v>924</v>
      </c>
      <c r="I85" s="49" t="s">
        <v>925</v>
      </c>
      <c r="J85" s="49" t="s">
        <v>926</v>
      </c>
      <c r="K85" s="50" t="s">
        <v>919</v>
      </c>
    </row>
    <row r="86" customFormat="false" ht="77.25" hidden="false" customHeight="true" outlineLevel="0" collapsed="false">
      <c r="A86" s="47" t="s">
        <v>927</v>
      </c>
      <c r="B86" s="53" t="s">
        <v>891</v>
      </c>
      <c r="C86" s="53" t="s">
        <v>928</v>
      </c>
      <c r="D86" s="49" t="s">
        <v>929</v>
      </c>
      <c r="E86" s="49" t="s">
        <v>930</v>
      </c>
      <c r="F86" s="49" t="s">
        <v>931</v>
      </c>
      <c r="G86" s="49" t="s">
        <v>932</v>
      </c>
      <c r="H86" s="49" t="s">
        <v>933</v>
      </c>
      <c r="I86" s="49" t="s">
        <v>934</v>
      </c>
      <c r="J86" s="49" t="s">
        <v>935</v>
      </c>
      <c r="K86" s="50" t="s">
        <v>928</v>
      </c>
    </row>
    <row r="87" customFormat="false" ht="77.25" hidden="false" customHeight="true" outlineLevel="0" collapsed="false">
      <c r="A87" s="47" t="s">
        <v>936</v>
      </c>
      <c r="B87" s="53" t="s">
        <v>937</v>
      </c>
      <c r="C87" s="53" t="s">
        <v>938</v>
      </c>
      <c r="D87" s="49" t="s">
        <v>939</v>
      </c>
      <c r="E87" s="49" t="s">
        <v>940</v>
      </c>
      <c r="F87" s="49" t="s">
        <v>941</v>
      </c>
      <c r="G87" s="49" t="s">
        <v>942</v>
      </c>
      <c r="H87" s="49" t="s">
        <v>943</v>
      </c>
      <c r="I87" s="49" t="s">
        <v>944</v>
      </c>
      <c r="J87" s="49" t="s">
        <v>945</v>
      </c>
      <c r="K87" s="50" t="s">
        <v>938</v>
      </c>
    </row>
    <row r="88" customFormat="false" ht="154.5" hidden="false" customHeight="true" outlineLevel="0" collapsed="false">
      <c r="A88" s="47" t="s">
        <v>946</v>
      </c>
      <c r="B88" s="53" t="s">
        <v>937</v>
      </c>
      <c r="C88" s="53" t="s">
        <v>947</v>
      </c>
      <c r="D88" s="49" t="s">
        <v>948</v>
      </c>
      <c r="E88" s="49" t="s">
        <v>949</v>
      </c>
      <c r="F88" s="49" t="s">
        <v>950</v>
      </c>
      <c r="G88" s="49" t="s">
        <v>951</v>
      </c>
      <c r="H88" s="49" t="s">
        <v>952</v>
      </c>
      <c r="I88" s="49" t="s">
        <v>953</v>
      </c>
      <c r="J88" s="49" t="s">
        <v>954</v>
      </c>
      <c r="K88" s="50" t="s">
        <v>947</v>
      </c>
    </row>
    <row r="89" customFormat="false" ht="61.5" hidden="false" customHeight="true" outlineLevel="0" collapsed="false">
      <c r="A89" s="47" t="s">
        <v>955</v>
      </c>
      <c r="B89" s="53" t="s">
        <v>937</v>
      </c>
      <c r="C89" s="53" t="s">
        <v>956</v>
      </c>
      <c r="D89" s="49" t="s">
        <v>957</v>
      </c>
      <c r="E89" s="49" t="s">
        <v>958</v>
      </c>
      <c r="F89" s="49" t="s">
        <v>959</v>
      </c>
      <c r="G89" s="49" t="s">
        <v>960</v>
      </c>
      <c r="H89" s="49" t="s">
        <v>961</v>
      </c>
      <c r="I89" s="49" t="s">
        <v>962</v>
      </c>
      <c r="J89" s="49" t="s">
        <v>963</v>
      </c>
      <c r="K89" s="50" t="s">
        <v>956</v>
      </c>
    </row>
    <row r="90" customFormat="false" ht="61.5" hidden="false" customHeight="true" outlineLevel="0" collapsed="false">
      <c r="A90" s="47" t="s">
        <v>964</v>
      </c>
      <c r="B90" s="53" t="s">
        <v>965</v>
      </c>
      <c r="C90" s="53" t="s">
        <v>966</v>
      </c>
      <c r="D90" s="49" t="s">
        <v>967</v>
      </c>
      <c r="E90" s="49" t="s">
        <v>968</v>
      </c>
      <c r="F90" s="49" t="s">
        <v>969</v>
      </c>
      <c r="G90" s="49" t="s">
        <v>970</v>
      </c>
      <c r="H90" s="49" t="s">
        <v>971</v>
      </c>
      <c r="I90" s="49" t="s">
        <v>972</v>
      </c>
      <c r="J90" s="49" t="s">
        <v>973</v>
      </c>
      <c r="K90" s="50" t="s">
        <v>966</v>
      </c>
    </row>
    <row r="91" customFormat="false" ht="61.5" hidden="false" customHeight="true" outlineLevel="0" collapsed="false">
      <c r="A91" s="47" t="s">
        <v>974</v>
      </c>
      <c r="B91" s="53" t="s">
        <v>965</v>
      </c>
      <c r="C91" s="53" t="s">
        <v>975</v>
      </c>
      <c r="D91" s="49" t="s">
        <v>976</v>
      </c>
      <c r="E91" s="49" t="s">
        <v>977</v>
      </c>
      <c r="F91" s="49" t="s">
        <v>978</v>
      </c>
      <c r="G91" s="49" t="s">
        <v>979</v>
      </c>
      <c r="H91" s="49" t="s">
        <v>980</v>
      </c>
      <c r="I91" s="49" t="s">
        <v>981</v>
      </c>
      <c r="J91" s="49" t="s">
        <v>982</v>
      </c>
      <c r="K91" s="50" t="s">
        <v>975</v>
      </c>
    </row>
  </sheetData>
  <mergeCells count="7">
    <mergeCell ref="A1:K1"/>
    <mergeCell ref="A2:K2"/>
    <mergeCell ref="A5:K5"/>
    <mergeCell ref="A25:K25"/>
    <mergeCell ref="A48:K48"/>
    <mergeCell ref="A63:K63"/>
    <mergeCell ref="A80:K80"/>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6"/>
    <col collapsed="false" customWidth="true" hidden="false" outlineLevel="0" max="4" min="4" style="1" width="14"/>
    <col collapsed="false" customWidth="true" hidden="false" outlineLevel="0" max="5" min="5" style="1" width="36"/>
    <col collapsed="false" customWidth="true" hidden="false" outlineLevel="0" max="6" min="6" style="1" width="28"/>
  </cols>
  <sheetData>
    <row r="1" customFormat="false" ht="25.5" hidden="false" customHeight="true" outlineLevel="0" collapsed="false">
      <c r="A1" s="71" t="s">
        <v>2901</v>
      </c>
      <c r="B1" s="71"/>
      <c r="C1" s="71"/>
      <c r="D1" s="71"/>
      <c r="E1" s="71"/>
      <c r="F1" s="71"/>
    </row>
    <row r="2" customFormat="false" ht="21.75" hidden="false" customHeight="true" outlineLevel="0" collapsed="false">
      <c r="A2" s="72" t="s">
        <v>2902</v>
      </c>
      <c r="B2" s="72"/>
      <c r="C2" s="72"/>
      <c r="D2" s="72"/>
      <c r="E2" s="72"/>
      <c r="F2" s="72"/>
    </row>
    <row r="3" customFormat="false" ht="15" hidden="false" customHeight="true" outlineLevel="0" collapsed="false">
      <c r="A3" s="73" t="s">
        <v>56</v>
      </c>
    </row>
    <row r="4" customFormat="false" ht="15" hidden="false" customHeight="true" outlineLevel="0" collapsed="false">
      <c r="A4" s="74" t="s">
        <v>2903</v>
      </c>
      <c r="B4" s="75"/>
      <c r="C4" s="75"/>
      <c r="D4" s="75"/>
      <c r="E4" s="75"/>
      <c r="F4" s="75"/>
    </row>
    <row r="5" customFormat="false" ht="15" hidden="false" customHeight="true" outlineLevel="0" collapsed="false">
      <c r="A5" s="74" t="s">
        <v>2904</v>
      </c>
      <c r="B5" s="75"/>
      <c r="C5" s="75"/>
      <c r="D5" s="75"/>
      <c r="E5" s="75"/>
      <c r="F5" s="75"/>
    </row>
    <row r="6" customFormat="false" ht="15" hidden="false" customHeight="true" outlineLevel="0" collapsed="false">
      <c r="A6" s="74" t="s">
        <v>2905</v>
      </c>
      <c r="B6" s="75"/>
      <c r="C6" s="75"/>
      <c r="D6" s="75"/>
      <c r="E6" s="75"/>
      <c r="F6" s="75"/>
    </row>
    <row r="7" customFormat="false" ht="15" hidden="false" customHeight="true" outlineLevel="0" collapsed="false">
      <c r="A7" s="74" t="s">
        <v>2906</v>
      </c>
      <c r="B7" s="75" t="s">
        <v>2907</v>
      </c>
      <c r="C7" s="75"/>
      <c r="D7" s="75"/>
      <c r="E7" s="75"/>
      <c r="F7" s="75"/>
    </row>
    <row r="8" customFormat="false" ht="15" hidden="false" customHeight="true" outlineLevel="0" collapsed="false">
      <c r="A8" s="74" t="s">
        <v>2908</v>
      </c>
      <c r="B8" s="75"/>
      <c r="C8" s="75"/>
      <c r="D8" s="75"/>
      <c r="E8" s="75"/>
      <c r="F8" s="75"/>
    </row>
    <row r="10" customFormat="false" ht="15" hidden="false" customHeight="true" outlineLevel="0" collapsed="false">
      <c r="A10" s="76" t="s">
        <v>2909</v>
      </c>
      <c r="B10" s="76" t="s">
        <v>2910</v>
      </c>
      <c r="C10" s="76" t="s">
        <v>2911</v>
      </c>
      <c r="D10" s="76" t="s">
        <v>2912</v>
      </c>
      <c r="E10" s="76" t="s">
        <v>2913</v>
      </c>
      <c r="F10" s="76" t="s">
        <v>2914</v>
      </c>
    </row>
    <row r="11" customFormat="false" ht="15" hidden="false" customHeight="true" outlineLevel="0" collapsed="false">
      <c r="A11" s="77" t="s">
        <v>2915</v>
      </c>
      <c r="B11" s="77" t="s">
        <v>2915</v>
      </c>
      <c r="C11" s="77" t="s">
        <v>2915</v>
      </c>
      <c r="D11" s="77" t="s">
        <v>2915</v>
      </c>
      <c r="E11" s="77" t="s">
        <v>2915</v>
      </c>
      <c r="F11" s="77" t="s">
        <v>2915</v>
      </c>
    </row>
    <row r="12" customFormat="false" ht="15" hidden="false" customHeight="true" outlineLevel="0" collapsed="false">
      <c r="A12" s="77" t="s">
        <v>2915</v>
      </c>
      <c r="B12" s="77" t="s">
        <v>2915</v>
      </c>
      <c r="C12" s="77" t="s">
        <v>2915</v>
      </c>
      <c r="D12" s="77" t="s">
        <v>2915</v>
      </c>
      <c r="E12" s="77" t="s">
        <v>2915</v>
      </c>
      <c r="F12" s="77" t="s">
        <v>2915</v>
      </c>
    </row>
    <row r="13" customFormat="false" ht="15" hidden="false" customHeight="true" outlineLevel="0" collapsed="false">
      <c r="A13" s="77" t="s">
        <v>2915</v>
      </c>
      <c r="B13" s="77" t="s">
        <v>2915</v>
      </c>
      <c r="C13" s="77" t="s">
        <v>2915</v>
      </c>
      <c r="D13" s="77" t="s">
        <v>2915</v>
      </c>
      <c r="E13" s="77" t="s">
        <v>2915</v>
      </c>
      <c r="F13" s="77" t="s">
        <v>2915</v>
      </c>
    </row>
    <row r="14" customFormat="false" ht="15" hidden="false" customHeight="true" outlineLevel="0" collapsed="false">
      <c r="A14" s="77" t="s">
        <v>2915</v>
      </c>
      <c r="B14" s="77" t="s">
        <v>2915</v>
      </c>
      <c r="C14" s="77" t="s">
        <v>2915</v>
      </c>
      <c r="D14" s="77" t="s">
        <v>2915</v>
      </c>
      <c r="E14" s="77" t="s">
        <v>2915</v>
      </c>
      <c r="F14" s="77" t="s">
        <v>2915</v>
      </c>
    </row>
    <row r="15" customFormat="false" ht="15" hidden="false" customHeight="true" outlineLevel="0" collapsed="false">
      <c r="A15" s="77" t="s">
        <v>2915</v>
      </c>
      <c r="B15" s="77" t="s">
        <v>2915</v>
      </c>
      <c r="C15" s="77" t="s">
        <v>2915</v>
      </c>
      <c r="D15" s="77" t="s">
        <v>2915</v>
      </c>
      <c r="E15" s="77" t="s">
        <v>2915</v>
      </c>
      <c r="F15" s="77" t="s">
        <v>2915</v>
      </c>
    </row>
    <row r="16" customFormat="false" ht="15" hidden="false" customHeight="true" outlineLevel="0" collapsed="false">
      <c r="A16" s="77" t="s">
        <v>2915</v>
      </c>
      <c r="B16" s="77" t="s">
        <v>2915</v>
      </c>
      <c r="C16" s="77" t="s">
        <v>2915</v>
      </c>
      <c r="D16" s="77" t="s">
        <v>2915</v>
      </c>
      <c r="E16" s="77" t="s">
        <v>2915</v>
      </c>
      <c r="F16" s="77" t="s">
        <v>2915</v>
      </c>
    </row>
    <row r="17" customFormat="false" ht="15" hidden="false" customHeight="true" outlineLevel="0" collapsed="false">
      <c r="A17" s="77" t="s">
        <v>2915</v>
      </c>
      <c r="B17" s="77" t="s">
        <v>2915</v>
      </c>
      <c r="C17" s="77" t="s">
        <v>2915</v>
      </c>
      <c r="D17" s="77" t="s">
        <v>2915</v>
      </c>
      <c r="E17" s="77" t="s">
        <v>2915</v>
      </c>
      <c r="F17" s="77" t="s">
        <v>2915</v>
      </c>
    </row>
    <row r="18" customFormat="false" ht="15" hidden="false" customHeight="true" outlineLevel="0" collapsed="false">
      <c r="A18" s="77" t="s">
        <v>2915</v>
      </c>
      <c r="B18" s="77" t="s">
        <v>2915</v>
      </c>
      <c r="C18" s="77" t="s">
        <v>2915</v>
      </c>
      <c r="D18" s="77" t="s">
        <v>2915</v>
      </c>
      <c r="E18" s="77" t="s">
        <v>2915</v>
      </c>
      <c r="F18" s="77" t="s">
        <v>2915</v>
      </c>
    </row>
    <row r="19" customFormat="false" ht="15" hidden="false" customHeight="true" outlineLevel="0" collapsed="false">
      <c r="A19" s="77" t="s">
        <v>2915</v>
      </c>
      <c r="B19" s="77" t="s">
        <v>2915</v>
      </c>
      <c r="C19" s="77" t="s">
        <v>2915</v>
      </c>
      <c r="D19" s="77" t="s">
        <v>2915</v>
      </c>
      <c r="E19" s="77" t="s">
        <v>2915</v>
      </c>
      <c r="F19" s="77" t="s">
        <v>2915</v>
      </c>
    </row>
    <row r="20" customFormat="false" ht="15" hidden="false" customHeight="true" outlineLevel="0" collapsed="false">
      <c r="A20" s="77" t="s">
        <v>2915</v>
      </c>
      <c r="B20" s="77" t="s">
        <v>2915</v>
      </c>
      <c r="C20" s="77" t="s">
        <v>2915</v>
      </c>
      <c r="D20" s="77" t="s">
        <v>2915</v>
      </c>
      <c r="E20" s="77" t="s">
        <v>2915</v>
      </c>
      <c r="F20" s="77" t="s">
        <v>2915</v>
      </c>
    </row>
    <row r="21" customFormat="false" ht="15" hidden="false" customHeight="true" outlineLevel="0" collapsed="false">
      <c r="A21" s="77" t="s">
        <v>2915</v>
      </c>
      <c r="B21" s="77" t="s">
        <v>2915</v>
      </c>
      <c r="C21" s="77" t="s">
        <v>2915</v>
      </c>
      <c r="D21" s="77" t="s">
        <v>2915</v>
      </c>
      <c r="E21" s="77" t="s">
        <v>2915</v>
      </c>
      <c r="F21" s="77" t="s">
        <v>2915</v>
      </c>
    </row>
    <row r="22" customFormat="false" ht="15" hidden="false" customHeight="true" outlineLevel="0" collapsed="false">
      <c r="A22" s="77" t="s">
        <v>2915</v>
      </c>
      <c r="B22" s="77" t="s">
        <v>2915</v>
      </c>
      <c r="C22" s="77" t="s">
        <v>2915</v>
      </c>
      <c r="D22" s="77" t="s">
        <v>2915</v>
      </c>
      <c r="E22" s="77" t="s">
        <v>2915</v>
      </c>
      <c r="F22" s="77" t="s">
        <v>2915</v>
      </c>
    </row>
    <row r="23" customFormat="false" ht="15" hidden="false" customHeight="true" outlineLevel="0" collapsed="false">
      <c r="A23" s="77" t="s">
        <v>2915</v>
      </c>
      <c r="B23" s="77" t="s">
        <v>2915</v>
      </c>
      <c r="C23" s="77" t="s">
        <v>2915</v>
      </c>
      <c r="D23" s="77" t="s">
        <v>2915</v>
      </c>
      <c r="E23" s="77" t="s">
        <v>2915</v>
      </c>
      <c r="F23" s="77" t="s">
        <v>2915</v>
      </c>
    </row>
    <row r="24" customFormat="false" ht="15" hidden="false" customHeight="true" outlineLevel="0" collapsed="false">
      <c r="A24" s="77" t="s">
        <v>2915</v>
      </c>
      <c r="B24" s="77" t="s">
        <v>2915</v>
      </c>
      <c r="C24" s="77" t="s">
        <v>2915</v>
      </c>
      <c r="D24" s="77" t="s">
        <v>2915</v>
      </c>
      <c r="E24" s="77" t="s">
        <v>2915</v>
      </c>
      <c r="F24" s="77" t="s">
        <v>2915</v>
      </c>
    </row>
    <row r="25" customFormat="false" ht="15" hidden="false" customHeight="true" outlineLevel="0" collapsed="false">
      <c r="A25" s="77" t="s">
        <v>2915</v>
      </c>
      <c r="B25" s="77" t="s">
        <v>2915</v>
      </c>
      <c r="C25" s="77" t="s">
        <v>2915</v>
      </c>
      <c r="D25" s="77" t="s">
        <v>2915</v>
      </c>
      <c r="E25" s="77" t="s">
        <v>2915</v>
      </c>
      <c r="F25" s="77" t="s">
        <v>2915</v>
      </c>
    </row>
    <row r="26" customFormat="false" ht="15" hidden="false" customHeight="true" outlineLevel="0" collapsed="false">
      <c r="A26" s="77" t="s">
        <v>2915</v>
      </c>
      <c r="B26" s="77" t="s">
        <v>2915</v>
      </c>
      <c r="C26" s="77" t="s">
        <v>2915</v>
      </c>
      <c r="D26" s="77" t="s">
        <v>2915</v>
      </c>
      <c r="E26" s="77" t="s">
        <v>2915</v>
      </c>
      <c r="F26" s="77" t="s">
        <v>2915</v>
      </c>
    </row>
    <row r="27" customFormat="false" ht="15" hidden="false" customHeight="true" outlineLevel="0" collapsed="false">
      <c r="A27" s="77" t="s">
        <v>2915</v>
      </c>
      <c r="B27" s="77" t="s">
        <v>2915</v>
      </c>
      <c r="C27" s="77" t="s">
        <v>2915</v>
      </c>
      <c r="D27" s="77" t="s">
        <v>2915</v>
      </c>
      <c r="E27" s="77" t="s">
        <v>2915</v>
      </c>
      <c r="F27" s="77" t="s">
        <v>2915</v>
      </c>
    </row>
    <row r="28" customFormat="false" ht="15" hidden="false" customHeight="true" outlineLevel="0" collapsed="false">
      <c r="A28" s="77" t="s">
        <v>2915</v>
      </c>
      <c r="B28" s="77" t="s">
        <v>2915</v>
      </c>
      <c r="C28" s="77" t="s">
        <v>2915</v>
      </c>
      <c r="D28" s="77" t="s">
        <v>2915</v>
      </c>
      <c r="E28" s="77" t="s">
        <v>2915</v>
      </c>
      <c r="F28" s="77" t="s">
        <v>2915</v>
      </c>
    </row>
    <row r="29" customFormat="false" ht="15" hidden="false" customHeight="true" outlineLevel="0" collapsed="false">
      <c r="A29" s="77" t="s">
        <v>2915</v>
      </c>
      <c r="B29" s="77" t="s">
        <v>2915</v>
      </c>
      <c r="C29" s="77" t="s">
        <v>2915</v>
      </c>
      <c r="D29" s="77" t="s">
        <v>2915</v>
      </c>
      <c r="E29" s="77" t="s">
        <v>2915</v>
      </c>
      <c r="F29" s="77" t="s">
        <v>2915</v>
      </c>
    </row>
    <row r="30" customFormat="false" ht="15" hidden="false" customHeight="true" outlineLevel="0" collapsed="false">
      <c r="A30" s="77" t="s">
        <v>2915</v>
      </c>
      <c r="B30" s="77" t="s">
        <v>2915</v>
      </c>
      <c r="C30" s="77" t="s">
        <v>2915</v>
      </c>
      <c r="D30" s="77" t="s">
        <v>2915</v>
      </c>
      <c r="E30" s="77" t="s">
        <v>2915</v>
      </c>
      <c r="F30" s="77" t="s">
        <v>2915</v>
      </c>
    </row>
    <row r="31" customFormat="false" ht="15" hidden="false" customHeight="true" outlineLevel="0" collapsed="false">
      <c r="A31" s="77" t="s">
        <v>2915</v>
      </c>
      <c r="B31" s="77" t="s">
        <v>2915</v>
      </c>
      <c r="C31" s="77" t="s">
        <v>2915</v>
      </c>
      <c r="D31" s="77" t="s">
        <v>2915</v>
      </c>
      <c r="E31" s="77" t="s">
        <v>2915</v>
      </c>
      <c r="F31" s="77" t="s">
        <v>2915</v>
      </c>
    </row>
    <row r="32" customFormat="false" ht="15" hidden="false" customHeight="true" outlineLevel="0" collapsed="false">
      <c r="A32" s="77" t="s">
        <v>2915</v>
      </c>
      <c r="B32" s="77" t="s">
        <v>2915</v>
      </c>
      <c r="C32" s="77" t="s">
        <v>2915</v>
      </c>
      <c r="D32" s="77" t="s">
        <v>2915</v>
      </c>
      <c r="E32" s="77" t="s">
        <v>2915</v>
      </c>
      <c r="F32" s="77" t="s">
        <v>2915</v>
      </c>
    </row>
    <row r="33" customFormat="false" ht="15" hidden="false" customHeight="true" outlineLevel="0" collapsed="false">
      <c r="A33" s="77" t="s">
        <v>2915</v>
      </c>
      <c r="B33" s="77" t="s">
        <v>2915</v>
      </c>
      <c r="C33" s="77" t="s">
        <v>2915</v>
      </c>
      <c r="D33" s="77" t="s">
        <v>2915</v>
      </c>
      <c r="E33" s="77" t="s">
        <v>2915</v>
      </c>
      <c r="F33" s="77" t="s">
        <v>2915</v>
      </c>
    </row>
    <row r="34" customFormat="false" ht="15" hidden="false" customHeight="true" outlineLevel="0" collapsed="false">
      <c r="A34" s="77" t="s">
        <v>2915</v>
      </c>
      <c r="B34" s="77" t="s">
        <v>2915</v>
      </c>
      <c r="C34" s="77" t="s">
        <v>2915</v>
      </c>
      <c r="D34" s="77" t="s">
        <v>2915</v>
      </c>
      <c r="E34" s="77" t="s">
        <v>2915</v>
      </c>
      <c r="F34" s="77" t="s">
        <v>2915</v>
      </c>
    </row>
    <row r="35" customFormat="false" ht="15" hidden="false" customHeight="true" outlineLevel="0" collapsed="false">
      <c r="A35" s="77" t="s">
        <v>2915</v>
      </c>
      <c r="B35" s="77" t="s">
        <v>2915</v>
      </c>
      <c r="C35" s="77" t="s">
        <v>2915</v>
      </c>
      <c r="D35" s="77" t="s">
        <v>2915</v>
      </c>
      <c r="E35" s="77" t="s">
        <v>2915</v>
      </c>
      <c r="F35" s="77" t="s">
        <v>2915</v>
      </c>
    </row>
    <row r="36" customFormat="false" ht="15" hidden="false" customHeight="true" outlineLevel="0" collapsed="false">
      <c r="A36" s="77" t="s">
        <v>2915</v>
      </c>
      <c r="B36" s="77" t="s">
        <v>2915</v>
      </c>
      <c r="C36" s="77" t="s">
        <v>2915</v>
      </c>
      <c r="D36" s="77" t="s">
        <v>2915</v>
      </c>
      <c r="E36" s="77" t="s">
        <v>2915</v>
      </c>
      <c r="F36" s="77" t="s">
        <v>2915</v>
      </c>
    </row>
    <row r="37" customFormat="false" ht="15" hidden="false" customHeight="true" outlineLevel="0" collapsed="false">
      <c r="A37" s="77" t="s">
        <v>2915</v>
      </c>
      <c r="B37" s="77" t="s">
        <v>2915</v>
      </c>
      <c r="C37" s="77" t="s">
        <v>2915</v>
      </c>
      <c r="D37" s="77" t="s">
        <v>2915</v>
      </c>
      <c r="E37" s="77" t="s">
        <v>2915</v>
      </c>
      <c r="F37" s="77" t="s">
        <v>2915</v>
      </c>
    </row>
    <row r="38" customFormat="false" ht="15" hidden="false" customHeight="true" outlineLevel="0" collapsed="false">
      <c r="A38" s="77" t="s">
        <v>2915</v>
      </c>
      <c r="B38" s="77" t="s">
        <v>2915</v>
      </c>
      <c r="C38" s="77" t="s">
        <v>2915</v>
      </c>
      <c r="D38" s="77" t="s">
        <v>2915</v>
      </c>
      <c r="E38" s="77" t="s">
        <v>2915</v>
      </c>
      <c r="F38" s="77" t="s">
        <v>2915</v>
      </c>
    </row>
    <row r="39" customFormat="false" ht="15" hidden="false" customHeight="true" outlineLevel="0" collapsed="false">
      <c r="A39" s="77" t="s">
        <v>2915</v>
      </c>
      <c r="B39" s="77" t="s">
        <v>2915</v>
      </c>
      <c r="C39" s="77" t="s">
        <v>2915</v>
      </c>
      <c r="D39" s="77" t="s">
        <v>2915</v>
      </c>
      <c r="E39" s="77" t="s">
        <v>2915</v>
      </c>
      <c r="F39" s="77" t="s">
        <v>2915</v>
      </c>
    </row>
    <row r="40" customFormat="false" ht="15" hidden="false" customHeight="true" outlineLevel="0" collapsed="false">
      <c r="A40" s="77" t="s">
        <v>2915</v>
      </c>
      <c r="B40" s="77" t="s">
        <v>2915</v>
      </c>
      <c r="C40" s="77" t="s">
        <v>2915</v>
      </c>
      <c r="D40" s="77" t="s">
        <v>2915</v>
      </c>
      <c r="E40" s="77" t="s">
        <v>2915</v>
      </c>
      <c r="F40" s="77" t="s">
        <v>2915</v>
      </c>
    </row>
  </sheetData>
  <mergeCells count="7">
    <mergeCell ref="A1:F1"/>
    <mergeCell ref="A2:F2"/>
    <mergeCell ref="B4:F4"/>
    <mergeCell ref="B5:F5"/>
    <mergeCell ref="B6:F6"/>
    <mergeCell ref="B7:F7"/>
    <mergeCell ref="B8:F8"/>
  </mergeCells>
  <hyperlinks>
    <hyperlink ref="A3"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26"/>
    <col collapsed="false" customWidth="true" hidden="false" outlineLevel="0" max="4" min="4" style="1" width="40"/>
  </cols>
  <sheetData>
    <row r="1" customFormat="false" ht="18" hidden="false" customHeight="true" outlineLevel="0" collapsed="false">
      <c r="A1" s="78" t="s">
        <v>56</v>
      </c>
      <c r="B1" s="2"/>
      <c r="C1" s="2"/>
      <c r="D1" s="2"/>
    </row>
    <row r="2" customFormat="false" ht="25.5" hidden="false" customHeight="true" outlineLevel="0" collapsed="false">
      <c r="A2" s="79" t="s">
        <v>2916</v>
      </c>
      <c r="B2" s="79"/>
      <c r="C2" s="79"/>
      <c r="D2" s="79"/>
    </row>
    <row r="3" customFormat="false" ht="21.75" hidden="false" customHeight="true" outlineLevel="0" collapsed="false">
      <c r="A3" s="72" t="s">
        <v>2917</v>
      </c>
      <c r="B3" s="72"/>
      <c r="C3" s="72"/>
      <c r="D3" s="72"/>
    </row>
    <row r="5" customFormat="false" ht="15" hidden="false" customHeight="true" outlineLevel="0" collapsed="false">
      <c r="A5" s="76" t="s">
        <v>2918</v>
      </c>
      <c r="B5" s="76" t="s">
        <v>2919</v>
      </c>
      <c r="C5" s="76" t="s">
        <v>2920</v>
      </c>
      <c r="D5" s="76" t="s">
        <v>2921</v>
      </c>
    </row>
    <row r="6" customFormat="false" ht="23.25" hidden="false" customHeight="true" outlineLevel="0" collapsed="false">
      <c r="A6" s="80" t="s">
        <v>2922</v>
      </c>
      <c r="B6" s="81" t="s">
        <v>2923</v>
      </c>
      <c r="C6" s="81" t="s">
        <v>2924</v>
      </c>
      <c r="D6" s="81" t="s">
        <v>2925</v>
      </c>
    </row>
    <row r="7" customFormat="false" ht="23.25" hidden="false" customHeight="true" outlineLevel="0" collapsed="false">
      <c r="A7" s="80" t="s">
        <v>2926</v>
      </c>
      <c r="B7" s="81" t="s">
        <v>2927</v>
      </c>
      <c r="C7" s="81" t="s">
        <v>2928</v>
      </c>
      <c r="D7" s="81" t="s">
        <v>2929</v>
      </c>
    </row>
    <row r="8" customFormat="false" ht="23.25" hidden="false" customHeight="true" outlineLevel="0" collapsed="false">
      <c r="A8" s="80" t="s">
        <v>2930</v>
      </c>
      <c r="B8" s="81" t="s">
        <v>2931</v>
      </c>
      <c r="C8" s="81" t="s">
        <v>2932</v>
      </c>
      <c r="D8" s="81" t="s">
        <v>2933</v>
      </c>
    </row>
    <row r="9" customFormat="false" ht="23.25" hidden="false" customHeight="true" outlineLevel="0" collapsed="false">
      <c r="A9" s="80" t="s">
        <v>2934</v>
      </c>
      <c r="B9" s="81" t="s">
        <v>2935</v>
      </c>
      <c r="C9" s="81" t="s">
        <v>2936</v>
      </c>
      <c r="D9" s="81" t="s">
        <v>2937</v>
      </c>
    </row>
    <row r="10" customFormat="false" ht="23.25" hidden="false" customHeight="true" outlineLevel="0" collapsed="false">
      <c r="A10" s="80" t="s">
        <v>2938</v>
      </c>
      <c r="B10" s="81" t="s">
        <v>2939</v>
      </c>
      <c r="C10" s="81" t="s">
        <v>2940</v>
      </c>
      <c r="D10" s="81" t="s">
        <v>2941</v>
      </c>
    </row>
    <row r="12" customFormat="false" ht="15" hidden="false" customHeight="true" outlineLevel="0" collapsed="false">
      <c r="A12" s="82" t="s">
        <v>2942</v>
      </c>
    </row>
  </sheetData>
  <mergeCells count="2">
    <mergeCell ref="A2:D2"/>
    <mergeCell ref="A3:D3"/>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I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7"/>
    <col collapsed="false" customWidth="true" hidden="false" outlineLevel="0" max="3" min="3" style="1" width="30"/>
    <col collapsed="false" customWidth="true" hidden="false" outlineLevel="0" max="4" min="4" style="1" width="40"/>
    <col collapsed="false" customWidth="true" hidden="false" outlineLevel="0" max="6" min="6" style="1" width="26"/>
  </cols>
  <sheetData>
    <row r="1" customFormat="false" ht="18" hidden="false" customHeight="true" outlineLevel="0" collapsed="false">
      <c r="A1" s="78" t="s">
        <v>56</v>
      </c>
      <c r="B1" s="2"/>
      <c r="C1" s="2"/>
      <c r="D1" s="2"/>
      <c r="E1" s="2"/>
      <c r="F1" s="2"/>
      <c r="G1" s="2"/>
      <c r="H1" s="2"/>
      <c r="I1" s="2"/>
    </row>
    <row r="2" customFormat="false" ht="25.5" hidden="false" customHeight="true" outlineLevel="0" collapsed="false">
      <c r="A2" s="79" t="s">
        <v>2943</v>
      </c>
      <c r="B2" s="79"/>
      <c r="C2" s="79"/>
      <c r="D2" s="79"/>
      <c r="E2" s="79"/>
      <c r="F2" s="79"/>
      <c r="G2" s="79"/>
      <c r="H2" s="79"/>
      <c r="I2" s="79"/>
    </row>
    <row r="3" customFormat="false" ht="21.75" hidden="false" customHeight="true" outlineLevel="0" collapsed="false">
      <c r="A3" s="72" t="s">
        <v>2944</v>
      </c>
      <c r="B3" s="72"/>
      <c r="C3" s="72"/>
      <c r="D3" s="72"/>
      <c r="E3" s="72"/>
      <c r="F3" s="72"/>
      <c r="G3" s="72"/>
      <c r="H3" s="72"/>
      <c r="I3" s="72"/>
    </row>
    <row r="5" customFormat="false" ht="15" hidden="false" customHeight="true" outlineLevel="0" collapsed="false">
      <c r="A5" s="76" t="s">
        <v>1490</v>
      </c>
      <c r="B5" s="76" t="s">
        <v>205</v>
      </c>
      <c r="C5" s="76" t="s">
        <v>2945</v>
      </c>
      <c r="D5" s="83" t="s">
        <v>2946</v>
      </c>
      <c r="E5" s="84" t="s">
        <v>2947</v>
      </c>
      <c r="F5" s="85" t="s">
        <v>2948</v>
      </c>
      <c r="G5" s="86" t="s">
        <v>2949</v>
      </c>
    </row>
    <row r="6" customFormat="false" ht="45.75" hidden="false" customHeight="true" outlineLevel="0" collapsed="false">
      <c r="A6" s="87" t="s">
        <v>1497</v>
      </c>
      <c r="B6" s="88" t="s">
        <v>216</v>
      </c>
      <c r="C6" s="89" t="s">
        <v>218</v>
      </c>
      <c r="D6" s="89" t="s">
        <v>2950</v>
      </c>
      <c r="E6" s="89" t="s">
        <v>2951</v>
      </c>
      <c r="F6" s="89" t="s">
        <v>2952</v>
      </c>
      <c r="G6" s="89" t="s">
        <v>2953</v>
      </c>
    </row>
    <row r="7" customFormat="false" ht="36.75" hidden="false" customHeight="true" outlineLevel="0" collapsed="false">
      <c r="A7" s="87" t="s">
        <v>1497</v>
      </c>
      <c r="B7" s="88" t="s">
        <v>226</v>
      </c>
      <c r="C7" s="89" t="s">
        <v>227</v>
      </c>
      <c r="D7" s="89" t="s">
        <v>2954</v>
      </c>
      <c r="E7" s="89" t="s">
        <v>2955</v>
      </c>
      <c r="F7" s="89" t="s">
        <v>2952</v>
      </c>
      <c r="G7" s="89" t="s">
        <v>2953</v>
      </c>
    </row>
    <row r="8" customFormat="false" ht="36.75" hidden="false" customHeight="true" outlineLevel="0" collapsed="false">
      <c r="A8" s="87" t="s">
        <v>1497</v>
      </c>
      <c r="B8" s="88" t="s">
        <v>235</v>
      </c>
      <c r="C8" s="89" t="s">
        <v>237</v>
      </c>
      <c r="D8" s="89" t="s">
        <v>2956</v>
      </c>
      <c r="E8" s="89" t="s">
        <v>2957</v>
      </c>
      <c r="F8" s="89" t="s">
        <v>2952</v>
      </c>
      <c r="G8" s="89" t="s">
        <v>2953</v>
      </c>
    </row>
    <row r="9" customFormat="false" ht="45.75" hidden="false" customHeight="true" outlineLevel="0" collapsed="false">
      <c r="A9" s="87" t="s">
        <v>1497</v>
      </c>
      <c r="B9" s="88" t="s">
        <v>245</v>
      </c>
      <c r="C9" s="89" t="s">
        <v>246</v>
      </c>
      <c r="D9" s="89" t="s">
        <v>2958</v>
      </c>
      <c r="E9" s="89" t="s">
        <v>2959</v>
      </c>
      <c r="F9" s="89" t="s">
        <v>2952</v>
      </c>
      <c r="G9" s="89" t="s">
        <v>2953</v>
      </c>
    </row>
    <row r="10" customFormat="false" ht="63.75" hidden="false" customHeight="true" outlineLevel="0" collapsed="false">
      <c r="A10" s="87" t="s">
        <v>1497</v>
      </c>
      <c r="B10" s="88" t="s">
        <v>254</v>
      </c>
      <c r="C10" s="89" t="s">
        <v>256</v>
      </c>
      <c r="D10" s="89" t="s">
        <v>2960</v>
      </c>
      <c r="E10" s="89" t="s">
        <v>2961</v>
      </c>
      <c r="F10" s="89" t="s">
        <v>2952</v>
      </c>
      <c r="G10" s="89" t="s">
        <v>2953</v>
      </c>
    </row>
    <row r="11" customFormat="false" ht="72.75" hidden="false" customHeight="true" outlineLevel="0" collapsed="false">
      <c r="A11" s="87" t="s">
        <v>1497</v>
      </c>
      <c r="B11" s="88" t="s">
        <v>264</v>
      </c>
      <c r="C11" s="89" t="s">
        <v>265</v>
      </c>
      <c r="D11" s="89" t="s">
        <v>2962</v>
      </c>
      <c r="E11" s="89" t="s">
        <v>2963</v>
      </c>
      <c r="F11" s="89" t="s">
        <v>2952</v>
      </c>
      <c r="G11" s="89" t="s">
        <v>2953</v>
      </c>
    </row>
    <row r="12" customFormat="false" ht="54.75" hidden="false" customHeight="true" outlineLevel="0" collapsed="false">
      <c r="A12" s="87" t="s">
        <v>1497</v>
      </c>
      <c r="B12" s="88" t="s">
        <v>273</v>
      </c>
      <c r="C12" s="89" t="s">
        <v>274</v>
      </c>
      <c r="D12" s="89" t="s">
        <v>2964</v>
      </c>
      <c r="E12" s="89" t="s">
        <v>2965</v>
      </c>
      <c r="F12" s="89" t="s">
        <v>2952</v>
      </c>
      <c r="G12" s="89" t="s">
        <v>2953</v>
      </c>
    </row>
    <row r="13" customFormat="false" ht="36.75" hidden="false" customHeight="true" outlineLevel="0" collapsed="false">
      <c r="A13" s="87" t="s">
        <v>1497</v>
      </c>
      <c r="B13" s="88" t="s">
        <v>282</v>
      </c>
      <c r="C13" s="89" t="s">
        <v>283</v>
      </c>
      <c r="D13" s="89" t="s">
        <v>2966</v>
      </c>
      <c r="E13" s="89" t="s">
        <v>2967</v>
      </c>
      <c r="F13" s="89" t="s">
        <v>2952</v>
      </c>
      <c r="G13" s="89" t="s">
        <v>2953</v>
      </c>
    </row>
    <row r="14" customFormat="false" ht="81.75" hidden="false" customHeight="true" outlineLevel="0" collapsed="false">
      <c r="A14" s="87" t="s">
        <v>1497</v>
      </c>
      <c r="B14" s="88" t="s">
        <v>291</v>
      </c>
      <c r="C14" s="89" t="s">
        <v>293</v>
      </c>
      <c r="D14" s="89" t="s">
        <v>2968</v>
      </c>
      <c r="E14" s="89" t="s">
        <v>2969</v>
      </c>
      <c r="F14" s="89" t="s">
        <v>2952</v>
      </c>
      <c r="G14" s="89" t="s">
        <v>2953</v>
      </c>
    </row>
    <row r="15" customFormat="false" ht="36.75" hidden="false" customHeight="true" outlineLevel="0" collapsed="false">
      <c r="A15" s="87" t="s">
        <v>1497</v>
      </c>
      <c r="B15" s="88" t="s">
        <v>301</v>
      </c>
      <c r="C15" s="89" t="s">
        <v>302</v>
      </c>
      <c r="D15" s="89" t="s">
        <v>2970</v>
      </c>
      <c r="E15" s="89" t="s">
        <v>2971</v>
      </c>
      <c r="F15" s="89" t="s">
        <v>2952</v>
      </c>
      <c r="G15" s="89" t="s">
        <v>2953</v>
      </c>
    </row>
    <row r="16" customFormat="false" ht="54.75" hidden="false" customHeight="true" outlineLevel="0" collapsed="false">
      <c r="A16" s="87" t="s">
        <v>1497</v>
      </c>
      <c r="B16" s="88" t="s">
        <v>310</v>
      </c>
      <c r="C16" s="89" t="s">
        <v>312</v>
      </c>
      <c r="D16" s="89" t="s">
        <v>2972</v>
      </c>
      <c r="E16" s="89" t="s">
        <v>2973</v>
      </c>
      <c r="F16" s="89" t="s">
        <v>2952</v>
      </c>
      <c r="G16" s="89" t="s">
        <v>2953</v>
      </c>
    </row>
    <row r="17" customFormat="false" ht="45.75" hidden="false" customHeight="true" outlineLevel="0" collapsed="false">
      <c r="A17" s="87" t="s">
        <v>1497</v>
      </c>
      <c r="B17" s="88" t="s">
        <v>320</v>
      </c>
      <c r="C17" s="89" t="s">
        <v>321</v>
      </c>
      <c r="D17" s="89" t="s">
        <v>2974</v>
      </c>
      <c r="E17" s="89" t="s">
        <v>2975</v>
      </c>
      <c r="F17" s="89" t="s">
        <v>2952</v>
      </c>
      <c r="G17" s="89" t="s">
        <v>2953</v>
      </c>
    </row>
    <row r="18" customFormat="false" ht="45.75" hidden="false" customHeight="true" outlineLevel="0" collapsed="false">
      <c r="A18" s="87" t="s">
        <v>1497</v>
      </c>
      <c r="B18" s="88" t="s">
        <v>329</v>
      </c>
      <c r="C18" s="89" t="s">
        <v>331</v>
      </c>
      <c r="D18" s="89" t="s">
        <v>2976</v>
      </c>
      <c r="E18" s="89" t="s">
        <v>2977</v>
      </c>
      <c r="F18" s="89" t="s">
        <v>2952</v>
      </c>
      <c r="G18" s="89" t="s">
        <v>2953</v>
      </c>
    </row>
    <row r="19" customFormat="false" ht="54.75" hidden="false" customHeight="true" outlineLevel="0" collapsed="false">
      <c r="A19" s="87" t="s">
        <v>1497</v>
      </c>
      <c r="B19" s="88" t="s">
        <v>339</v>
      </c>
      <c r="C19" s="89" t="s">
        <v>340</v>
      </c>
      <c r="D19" s="89" t="s">
        <v>2978</v>
      </c>
      <c r="E19" s="89" t="s">
        <v>2979</v>
      </c>
      <c r="F19" s="89" t="s">
        <v>2952</v>
      </c>
      <c r="G19" s="89" t="s">
        <v>2953</v>
      </c>
    </row>
    <row r="20" customFormat="false" ht="36.75" hidden="false" customHeight="true" outlineLevel="0" collapsed="false">
      <c r="A20" s="87" t="s">
        <v>1497</v>
      </c>
      <c r="B20" s="88" t="s">
        <v>348</v>
      </c>
      <c r="C20" s="89" t="s">
        <v>349</v>
      </c>
      <c r="D20" s="89" t="s">
        <v>2980</v>
      </c>
      <c r="E20" s="89" t="s">
        <v>2981</v>
      </c>
      <c r="F20" s="89" t="s">
        <v>2952</v>
      </c>
      <c r="G20" s="89" t="s">
        <v>2953</v>
      </c>
    </row>
    <row r="21" customFormat="false" ht="54.75" hidden="false" customHeight="true" outlineLevel="0" collapsed="false">
      <c r="A21" s="87" t="s">
        <v>1497</v>
      </c>
      <c r="B21" s="88" t="s">
        <v>357</v>
      </c>
      <c r="C21" s="89" t="s">
        <v>358</v>
      </c>
      <c r="D21" s="89" t="s">
        <v>2982</v>
      </c>
      <c r="E21" s="89" t="s">
        <v>2983</v>
      </c>
      <c r="F21" s="89" t="s">
        <v>2952</v>
      </c>
      <c r="G21" s="89" t="s">
        <v>2953</v>
      </c>
    </row>
    <row r="22" customFormat="false" ht="36.75" hidden="false" customHeight="true" outlineLevel="0" collapsed="false">
      <c r="A22" s="87" t="s">
        <v>1497</v>
      </c>
      <c r="B22" s="88" t="s">
        <v>366</v>
      </c>
      <c r="C22" s="89" t="s">
        <v>367</v>
      </c>
      <c r="D22" s="89" t="s">
        <v>2984</v>
      </c>
      <c r="E22" s="89" t="s">
        <v>2985</v>
      </c>
      <c r="F22" s="89" t="s">
        <v>2952</v>
      </c>
      <c r="G22" s="89" t="s">
        <v>2953</v>
      </c>
    </row>
    <row r="23" customFormat="false" ht="36.75" hidden="false" customHeight="true" outlineLevel="0" collapsed="false">
      <c r="A23" s="87" t="s">
        <v>1497</v>
      </c>
      <c r="B23" s="88" t="s">
        <v>375</v>
      </c>
      <c r="C23" s="89" t="s">
        <v>377</v>
      </c>
      <c r="D23" s="89" t="s">
        <v>2986</v>
      </c>
      <c r="E23" s="89" t="s">
        <v>2987</v>
      </c>
      <c r="F23" s="89" t="s">
        <v>2952</v>
      </c>
      <c r="G23" s="89" t="s">
        <v>2953</v>
      </c>
    </row>
    <row r="24" customFormat="false" ht="45.75" hidden="false" customHeight="true" outlineLevel="0" collapsed="false">
      <c r="A24" s="87" t="s">
        <v>1497</v>
      </c>
      <c r="B24" s="88" t="s">
        <v>385</v>
      </c>
      <c r="C24" s="89" t="s">
        <v>386</v>
      </c>
      <c r="D24" s="89" t="s">
        <v>2988</v>
      </c>
      <c r="E24" s="89" t="s">
        <v>2989</v>
      </c>
      <c r="F24" s="89" t="s">
        <v>2952</v>
      </c>
      <c r="G24" s="89" t="s">
        <v>2953</v>
      </c>
    </row>
    <row r="25" customFormat="false" ht="36.75" hidden="false" customHeight="true" outlineLevel="0" collapsed="false">
      <c r="A25" s="90" t="s">
        <v>1827</v>
      </c>
      <c r="B25" s="88" t="s">
        <v>394</v>
      </c>
      <c r="C25" s="89" t="s">
        <v>396</v>
      </c>
      <c r="D25" s="89" t="s">
        <v>2990</v>
      </c>
      <c r="E25" s="89" t="s">
        <v>2991</v>
      </c>
      <c r="F25" s="89" t="s">
        <v>2992</v>
      </c>
      <c r="G25" s="89" t="s">
        <v>2993</v>
      </c>
    </row>
    <row r="26" customFormat="false" ht="36.75" hidden="false" customHeight="true" outlineLevel="0" collapsed="false">
      <c r="A26" s="90" t="s">
        <v>1827</v>
      </c>
      <c r="B26" s="88" t="s">
        <v>404</v>
      </c>
      <c r="C26" s="89" t="s">
        <v>405</v>
      </c>
      <c r="D26" s="89" t="s">
        <v>2994</v>
      </c>
      <c r="E26" s="89" t="s">
        <v>2995</v>
      </c>
      <c r="F26" s="89" t="s">
        <v>2992</v>
      </c>
      <c r="G26" s="89" t="s">
        <v>2993</v>
      </c>
    </row>
    <row r="27" customFormat="false" ht="36.75" hidden="false" customHeight="true" outlineLevel="0" collapsed="false">
      <c r="A27" s="90" t="s">
        <v>1827</v>
      </c>
      <c r="B27" s="88" t="s">
        <v>413</v>
      </c>
      <c r="C27" s="89" t="s">
        <v>414</v>
      </c>
      <c r="D27" s="89" t="s">
        <v>2996</v>
      </c>
      <c r="E27" s="89" t="s">
        <v>2997</v>
      </c>
      <c r="F27" s="89" t="s">
        <v>2992</v>
      </c>
      <c r="G27" s="89" t="s">
        <v>2993</v>
      </c>
    </row>
    <row r="28" customFormat="false" ht="36.75" hidden="false" customHeight="true" outlineLevel="0" collapsed="false">
      <c r="A28" s="90" t="s">
        <v>1827</v>
      </c>
      <c r="B28" s="88" t="s">
        <v>422</v>
      </c>
      <c r="C28" s="89" t="s">
        <v>424</v>
      </c>
      <c r="D28" s="89" t="s">
        <v>2998</v>
      </c>
      <c r="E28" s="89" t="s">
        <v>2999</v>
      </c>
      <c r="F28" s="89" t="s">
        <v>2992</v>
      </c>
      <c r="G28" s="89" t="s">
        <v>2993</v>
      </c>
    </row>
    <row r="29" customFormat="false" ht="36.75" hidden="false" customHeight="true" outlineLevel="0" collapsed="false">
      <c r="A29" s="90" t="s">
        <v>1827</v>
      </c>
      <c r="B29" s="88" t="s">
        <v>432</v>
      </c>
      <c r="C29" s="89" t="s">
        <v>433</v>
      </c>
      <c r="D29" s="89" t="s">
        <v>3000</v>
      </c>
      <c r="E29" s="89" t="s">
        <v>3001</v>
      </c>
      <c r="F29" s="89" t="s">
        <v>2992</v>
      </c>
      <c r="G29" s="89" t="s">
        <v>2993</v>
      </c>
    </row>
    <row r="30" customFormat="false" ht="36.75" hidden="false" customHeight="true" outlineLevel="0" collapsed="false">
      <c r="A30" s="90" t="s">
        <v>1827</v>
      </c>
      <c r="B30" s="88" t="s">
        <v>441</v>
      </c>
      <c r="C30" s="89" t="s">
        <v>442</v>
      </c>
      <c r="D30" s="89" t="s">
        <v>3002</v>
      </c>
      <c r="E30" s="89" t="s">
        <v>3003</v>
      </c>
      <c r="F30" s="89" t="s">
        <v>2992</v>
      </c>
      <c r="G30" s="89" t="s">
        <v>2993</v>
      </c>
    </row>
    <row r="31" customFormat="false" ht="36.75" hidden="false" customHeight="true" outlineLevel="0" collapsed="false">
      <c r="A31" s="90" t="s">
        <v>1827</v>
      </c>
      <c r="B31" s="88" t="s">
        <v>450</v>
      </c>
      <c r="C31" s="89" t="s">
        <v>452</v>
      </c>
      <c r="D31" s="89" t="s">
        <v>3004</v>
      </c>
      <c r="E31" s="89" t="s">
        <v>3005</v>
      </c>
      <c r="F31" s="89" t="s">
        <v>2992</v>
      </c>
      <c r="G31" s="89" t="s">
        <v>2993</v>
      </c>
    </row>
    <row r="32" customFormat="false" ht="27.75" hidden="false" customHeight="true" outlineLevel="0" collapsed="false">
      <c r="A32" s="90" t="s">
        <v>1827</v>
      </c>
      <c r="B32" s="88" t="s">
        <v>460</v>
      </c>
      <c r="C32" s="89" t="s">
        <v>461</v>
      </c>
      <c r="D32" s="89" t="s">
        <v>3006</v>
      </c>
      <c r="E32" s="89" t="s">
        <v>3007</v>
      </c>
      <c r="F32" s="89" t="s">
        <v>2992</v>
      </c>
      <c r="G32" s="89" t="s">
        <v>2993</v>
      </c>
    </row>
    <row r="33" customFormat="false" ht="36.75" hidden="false" customHeight="true" outlineLevel="0" collapsed="false">
      <c r="A33" s="90" t="s">
        <v>1827</v>
      </c>
      <c r="B33" s="88" t="s">
        <v>469</v>
      </c>
      <c r="C33" s="89" t="s">
        <v>470</v>
      </c>
      <c r="D33" s="89" t="s">
        <v>3008</v>
      </c>
      <c r="E33" s="89" t="s">
        <v>3009</v>
      </c>
      <c r="F33" s="89" t="s">
        <v>2992</v>
      </c>
      <c r="G33" s="89" t="s">
        <v>2993</v>
      </c>
    </row>
    <row r="34" customFormat="false" ht="36.75" hidden="false" customHeight="true" outlineLevel="0" collapsed="false">
      <c r="A34" s="90" t="s">
        <v>1827</v>
      </c>
      <c r="B34" s="88" t="s">
        <v>478</v>
      </c>
      <c r="C34" s="89" t="s">
        <v>480</v>
      </c>
      <c r="D34" s="89" t="s">
        <v>3010</v>
      </c>
      <c r="E34" s="89" t="s">
        <v>3011</v>
      </c>
      <c r="F34" s="89" t="s">
        <v>2992</v>
      </c>
      <c r="G34" s="89" t="s">
        <v>2993</v>
      </c>
    </row>
    <row r="35" customFormat="false" ht="45.75" hidden="false" customHeight="true" outlineLevel="0" collapsed="false">
      <c r="A35" s="90" t="s">
        <v>1827</v>
      </c>
      <c r="B35" s="88" t="s">
        <v>488</v>
      </c>
      <c r="C35" s="89" t="s">
        <v>489</v>
      </c>
      <c r="D35" s="89" t="s">
        <v>3012</v>
      </c>
      <c r="E35" s="89" t="s">
        <v>3013</v>
      </c>
      <c r="F35" s="89" t="s">
        <v>2992</v>
      </c>
      <c r="G35" s="89" t="s">
        <v>2993</v>
      </c>
    </row>
    <row r="36" customFormat="false" ht="36.75" hidden="false" customHeight="true" outlineLevel="0" collapsed="false">
      <c r="A36" s="90" t="s">
        <v>1827</v>
      </c>
      <c r="B36" s="88" t="s">
        <v>497</v>
      </c>
      <c r="C36" s="89" t="s">
        <v>498</v>
      </c>
      <c r="D36" s="89" t="s">
        <v>3014</v>
      </c>
      <c r="E36" s="89" t="s">
        <v>3015</v>
      </c>
      <c r="F36" s="89" t="s">
        <v>2992</v>
      </c>
      <c r="G36" s="89" t="s">
        <v>2993</v>
      </c>
    </row>
    <row r="37" customFormat="false" ht="36.75" hidden="false" customHeight="true" outlineLevel="0" collapsed="false">
      <c r="A37" s="90" t="s">
        <v>1827</v>
      </c>
      <c r="B37" s="88" t="s">
        <v>506</v>
      </c>
      <c r="C37" s="89" t="s">
        <v>508</v>
      </c>
      <c r="D37" s="89" t="s">
        <v>3016</v>
      </c>
      <c r="E37" s="89" t="s">
        <v>3017</v>
      </c>
      <c r="F37" s="89" t="s">
        <v>2992</v>
      </c>
      <c r="G37" s="89" t="s">
        <v>2993</v>
      </c>
    </row>
    <row r="38" customFormat="false" ht="45.75" hidden="false" customHeight="true" outlineLevel="0" collapsed="false">
      <c r="A38" s="90" t="s">
        <v>1827</v>
      </c>
      <c r="B38" s="88" t="s">
        <v>516</v>
      </c>
      <c r="C38" s="89" t="s">
        <v>517</v>
      </c>
      <c r="D38" s="89" t="s">
        <v>3018</v>
      </c>
      <c r="E38" s="89" t="s">
        <v>3019</v>
      </c>
      <c r="F38" s="89" t="s">
        <v>2992</v>
      </c>
      <c r="G38" s="89" t="s">
        <v>2993</v>
      </c>
    </row>
    <row r="39" customFormat="false" ht="36.75" hidden="false" customHeight="true" outlineLevel="0" collapsed="false">
      <c r="A39" s="90" t="s">
        <v>1827</v>
      </c>
      <c r="B39" s="88" t="s">
        <v>525</v>
      </c>
      <c r="C39" s="89" t="s">
        <v>526</v>
      </c>
      <c r="D39" s="89" t="s">
        <v>3020</v>
      </c>
      <c r="E39" s="89" t="s">
        <v>3021</v>
      </c>
      <c r="F39" s="89" t="s">
        <v>2992</v>
      </c>
      <c r="G39" s="89" t="s">
        <v>2993</v>
      </c>
    </row>
    <row r="40" customFormat="false" ht="27.75" hidden="false" customHeight="true" outlineLevel="0" collapsed="false">
      <c r="A40" s="90" t="s">
        <v>1827</v>
      </c>
      <c r="B40" s="88" t="s">
        <v>534</v>
      </c>
      <c r="C40" s="89" t="s">
        <v>536</v>
      </c>
      <c r="D40" s="89" t="s">
        <v>3022</v>
      </c>
      <c r="E40" s="89" t="s">
        <v>3023</v>
      </c>
      <c r="F40" s="89" t="s">
        <v>2992</v>
      </c>
      <c r="G40" s="89" t="s">
        <v>2993</v>
      </c>
    </row>
    <row r="41" customFormat="false" ht="27.75" hidden="false" customHeight="true" outlineLevel="0" collapsed="false">
      <c r="A41" s="90" t="s">
        <v>1827</v>
      </c>
      <c r="B41" s="88" t="s">
        <v>544</v>
      </c>
      <c r="C41" s="89" t="s">
        <v>545</v>
      </c>
      <c r="D41" s="89" t="s">
        <v>3024</v>
      </c>
      <c r="E41" s="89" t="s">
        <v>3025</v>
      </c>
      <c r="F41" s="89" t="s">
        <v>2992</v>
      </c>
      <c r="G41" s="89" t="s">
        <v>2993</v>
      </c>
    </row>
    <row r="42" customFormat="false" ht="36.75" hidden="false" customHeight="true" outlineLevel="0" collapsed="false">
      <c r="A42" s="90" t="s">
        <v>1827</v>
      </c>
      <c r="B42" s="88" t="s">
        <v>553</v>
      </c>
      <c r="C42" s="89" t="s">
        <v>555</v>
      </c>
      <c r="D42" s="89" t="s">
        <v>3026</v>
      </c>
      <c r="E42" s="89" t="s">
        <v>3027</v>
      </c>
      <c r="F42" s="89" t="s">
        <v>2992</v>
      </c>
      <c r="G42" s="89" t="s">
        <v>2993</v>
      </c>
    </row>
    <row r="43" customFormat="false" ht="36.75" hidden="false" customHeight="true" outlineLevel="0" collapsed="false">
      <c r="A43" s="90" t="s">
        <v>1827</v>
      </c>
      <c r="B43" s="88" t="s">
        <v>563</v>
      </c>
      <c r="C43" s="89" t="s">
        <v>564</v>
      </c>
      <c r="D43" s="89" t="s">
        <v>3028</v>
      </c>
      <c r="E43" s="89" t="s">
        <v>3029</v>
      </c>
      <c r="F43" s="89" t="s">
        <v>2992</v>
      </c>
      <c r="G43" s="89" t="s">
        <v>2993</v>
      </c>
    </row>
    <row r="44" customFormat="false" ht="36.75" hidden="false" customHeight="true" outlineLevel="0" collapsed="false">
      <c r="A44" s="90" t="s">
        <v>1827</v>
      </c>
      <c r="B44" s="88" t="s">
        <v>572</v>
      </c>
      <c r="C44" s="89" t="s">
        <v>573</v>
      </c>
      <c r="D44" s="89" t="s">
        <v>3030</v>
      </c>
      <c r="E44" s="89" t="s">
        <v>3031</v>
      </c>
      <c r="F44" s="89" t="s">
        <v>2992</v>
      </c>
      <c r="G44" s="89" t="s">
        <v>2993</v>
      </c>
    </row>
    <row r="45" customFormat="false" ht="45.75" hidden="false" customHeight="true" outlineLevel="0" collapsed="false">
      <c r="A45" s="90" t="s">
        <v>1827</v>
      </c>
      <c r="B45" s="88" t="s">
        <v>581</v>
      </c>
      <c r="C45" s="89" t="s">
        <v>583</v>
      </c>
      <c r="D45" s="89" t="s">
        <v>3032</v>
      </c>
      <c r="E45" s="89" t="s">
        <v>3033</v>
      </c>
      <c r="F45" s="89" t="s">
        <v>2992</v>
      </c>
      <c r="G45" s="89" t="s">
        <v>2993</v>
      </c>
    </row>
    <row r="46" customFormat="false" ht="36.75" hidden="false" customHeight="true" outlineLevel="0" collapsed="false">
      <c r="A46" s="90" t="s">
        <v>1827</v>
      </c>
      <c r="B46" s="88" t="s">
        <v>591</v>
      </c>
      <c r="C46" s="89" t="s">
        <v>592</v>
      </c>
      <c r="D46" s="89" t="s">
        <v>3034</v>
      </c>
      <c r="E46" s="89" t="s">
        <v>3035</v>
      </c>
      <c r="F46" s="89" t="s">
        <v>2992</v>
      </c>
      <c r="G46" s="89" t="s">
        <v>2993</v>
      </c>
    </row>
    <row r="47" customFormat="false" ht="36.75" hidden="false" customHeight="true" outlineLevel="0" collapsed="false">
      <c r="A47" s="91" t="s">
        <v>2202</v>
      </c>
      <c r="B47" s="88" t="s">
        <v>600</v>
      </c>
      <c r="C47" s="89" t="s">
        <v>602</v>
      </c>
      <c r="D47" s="89" t="s">
        <v>3036</v>
      </c>
      <c r="E47" s="89" t="s">
        <v>3037</v>
      </c>
      <c r="F47" s="89" t="s">
        <v>3038</v>
      </c>
      <c r="G47" s="89" t="s">
        <v>3039</v>
      </c>
    </row>
    <row r="48" customFormat="false" ht="36.75" hidden="false" customHeight="true" outlineLevel="0" collapsed="false">
      <c r="A48" s="91" t="s">
        <v>2202</v>
      </c>
      <c r="B48" s="88" t="s">
        <v>610</v>
      </c>
      <c r="C48" s="89" t="s">
        <v>611</v>
      </c>
      <c r="D48" s="89" t="s">
        <v>3040</v>
      </c>
      <c r="E48" s="89" t="s">
        <v>3041</v>
      </c>
      <c r="F48" s="89" t="s">
        <v>3038</v>
      </c>
      <c r="G48" s="89" t="s">
        <v>3039</v>
      </c>
    </row>
    <row r="49" customFormat="false" ht="36.75" hidden="false" customHeight="true" outlineLevel="0" collapsed="false">
      <c r="A49" s="91" t="s">
        <v>2202</v>
      </c>
      <c r="B49" s="88" t="s">
        <v>619</v>
      </c>
      <c r="C49" s="89" t="s">
        <v>621</v>
      </c>
      <c r="D49" s="89" t="s">
        <v>3042</v>
      </c>
      <c r="E49" s="89" t="s">
        <v>3043</v>
      </c>
      <c r="F49" s="89" t="s">
        <v>3038</v>
      </c>
      <c r="G49" s="89" t="s">
        <v>3039</v>
      </c>
    </row>
    <row r="50" customFormat="false" ht="36.75" hidden="false" customHeight="true" outlineLevel="0" collapsed="false">
      <c r="A50" s="91" t="s">
        <v>2202</v>
      </c>
      <c r="B50" s="88" t="s">
        <v>629</v>
      </c>
      <c r="C50" s="89" t="s">
        <v>630</v>
      </c>
      <c r="D50" s="89" t="s">
        <v>3044</v>
      </c>
      <c r="E50" s="89" t="s">
        <v>3045</v>
      </c>
      <c r="F50" s="89" t="s">
        <v>3038</v>
      </c>
      <c r="G50" s="89" t="s">
        <v>3039</v>
      </c>
    </row>
    <row r="51" customFormat="false" ht="27.75" hidden="false" customHeight="true" outlineLevel="0" collapsed="false">
      <c r="A51" s="91" t="s">
        <v>2202</v>
      </c>
      <c r="B51" s="88" t="s">
        <v>638</v>
      </c>
      <c r="C51" s="89" t="s">
        <v>639</v>
      </c>
      <c r="D51" s="89" t="s">
        <v>3046</v>
      </c>
      <c r="E51" s="89" t="s">
        <v>3047</v>
      </c>
      <c r="F51" s="89" t="s">
        <v>3038</v>
      </c>
      <c r="G51" s="89" t="s">
        <v>3039</v>
      </c>
    </row>
    <row r="52" customFormat="false" ht="36.75" hidden="false" customHeight="true" outlineLevel="0" collapsed="false">
      <c r="A52" s="91" t="s">
        <v>2202</v>
      </c>
      <c r="B52" s="88" t="s">
        <v>647</v>
      </c>
      <c r="C52" s="89" t="s">
        <v>648</v>
      </c>
      <c r="D52" s="89" t="s">
        <v>3048</v>
      </c>
      <c r="E52" s="89" t="s">
        <v>3049</v>
      </c>
      <c r="F52" s="89" t="s">
        <v>3038</v>
      </c>
      <c r="G52" s="89" t="s">
        <v>3039</v>
      </c>
    </row>
    <row r="53" customFormat="false" ht="45.75" hidden="false" customHeight="true" outlineLevel="0" collapsed="false">
      <c r="A53" s="91" t="s">
        <v>2202</v>
      </c>
      <c r="B53" s="88" t="s">
        <v>656</v>
      </c>
      <c r="C53" s="89" t="s">
        <v>657</v>
      </c>
      <c r="D53" s="89" t="s">
        <v>3050</v>
      </c>
      <c r="E53" s="89" t="s">
        <v>3051</v>
      </c>
      <c r="F53" s="89" t="s">
        <v>3038</v>
      </c>
      <c r="G53" s="89" t="s">
        <v>3039</v>
      </c>
    </row>
    <row r="54" customFormat="false" ht="45.75" hidden="false" customHeight="true" outlineLevel="0" collapsed="false">
      <c r="A54" s="91" t="s">
        <v>2202</v>
      </c>
      <c r="B54" s="88" t="s">
        <v>664</v>
      </c>
      <c r="C54" s="89" t="s">
        <v>666</v>
      </c>
      <c r="D54" s="89" t="s">
        <v>3052</v>
      </c>
      <c r="E54" s="89" t="s">
        <v>3053</v>
      </c>
      <c r="F54" s="89" t="s">
        <v>3038</v>
      </c>
      <c r="G54" s="89" t="s">
        <v>3039</v>
      </c>
    </row>
    <row r="55" customFormat="false" ht="36.75" hidden="false" customHeight="true" outlineLevel="0" collapsed="false">
      <c r="A55" s="91" t="s">
        <v>2202</v>
      </c>
      <c r="B55" s="88" t="s">
        <v>674</v>
      </c>
      <c r="C55" s="89" t="s">
        <v>675</v>
      </c>
      <c r="D55" s="89" t="s">
        <v>3054</v>
      </c>
      <c r="E55" s="89" t="s">
        <v>3055</v>
      </c>
      <c r="F55" s="89" t="s">
        <v>3038</v>
      </c>
      <c r="G55" s="89" t="s">
        <v>3039</v>
      </c>
    </row>
    <row r="56" customFormat="false" ht="27.75" hidden="false" customHeight="true" outlineLevel="0" collapsed="false">
      <c r="A56" s="91" t="s">
        <v>2202</v>
      </c>
      <c r="B56" s="88" t="s">
        <v>683</v>
      </c>
      <c r="C56" s="89" t="s">
        <v>685</v>
      </c>
      <c r="D56" s="89" t="s">
        <v>3056</v>
      </c>
      <c r="E56" s="89" t="s">
        <v>3057</v>
      </c>
      <c r="F56" s="89" t="s">
        <v>3038</v>
      </c>
      <c r="G56" s="89" t="s">
        <v>3039</v>
      </c>
    </row>
    <row r="57" customFormat="false" ht="27.75" hidden="false" customHeight="true" outlineLevel="0" collapsed="false">
      <c r="A57" s="91" t="s">
        <v>2202</v>
      </c>
      <c r="B57" s="88" t="s">
        <v>693</v>
      </c>
      <c r="C57" s="89" t="s">
        <v>694</v>
      </c>
      <c r="D57" s="89" t="s">
        <v>3058</v>
      </c>
      <c r="E57" s="89" t="s">
        <v>3059</v>
      </c>
      <c r="F57" s="89" t="s">
        <v>3038</v>
      </c>
      <c r="G57" s="89" t="s">
        <v>3039</v>
      </c>
    </row>
    <row r="58" customFormat="false" ht="27.75" hidden="false" customHeight="true" outlineLevel="0" collapsed="false">
      <c r="A58" s="91" t="s">
        <v>2202</v>
      </c>
      <c r="B58" s="88" t="s">
        <v>701</v>
      </c>
      <c r="C58" s="89" t="s">
        <v>703</v>
      </c>
      <c r="D58" s="89" t="s">
        <v>3060</v>
      </c>
      <c r="E58" s="89" t="s">
        <v>3061</v>
      </c>
      <c r="F58" s="89" t="s">
        <v>3038</v>
      </c>
      <c r="G58" s="89" t="s">
        <v>3039</v>
      </c>
    </row>
    <row r="59" customFormat="false" ht="36.75" hidden="false" customHeight="true" outlineLevel="0" collapsed="false">
      <c r="A59" s="91" t="s">
        <v>2202</v>
      </c>
      <c r="B59" s="88" t="s">
        <v>711</v>
      </c>
      <c r="C59" s="89" t="s">
        <v>713</v>
      </c>
      <c r="D59" s="89" t="s">
        <v>3062</v>
      </c>
      <c r="E59" s="89" t="s">
        <v>3063</v>
      </c>
      <c r="F59" s="89" t="s">
        <v>3038</v>
      </c>
      <c r="G59" s="89" t="s">
        <v>3039</v>
      </c>
    </row>
    <row r="60" customFormat="false" ht="27.75" hidden="false" customHeight="true" outlineLevel="0" collapsed="false">
      <c r="A60" s="91" t="s">
        <v>2202</v>
      </c>
      <c r="B60" s="88" t="s">
        <v>721</v>
      </c>
      <c r="C60" s="89" t="s">
        <v>723</v>
      </c>
      <c r="D60" s="89" t="s">
        <v>3064</v>
      </c>
      <c r="E60" s="89" t="s">
        <v>3065</v>
      </c>
      <c r="F60" s="89" t="s">
        <v>3038</v>
      </c>
      <c r="G60" s="89" t="s">
        <v>3039</v>
      </c>
    </row>
    <row r="61" customFormat="false" ht="36.75" hidden="false" customHeight="true" outlineLevel="0" collapsed="false">
      <c r="A61" s="92" t="s">
        <v>2438</v>
      </c>
      <c r="B61" s="88" t="s">
        <v>730</v>
      </c>
      <c r="C61" s="89" t="s">
        <v>732</v>
      </c>
      <c r="D61" s="89" t="s">
        <v>3066</v>
      </c>
      <c r="E61" s="89" t="s">
        <v>3067</v>
      </c>
      <c r="F61" s="89" t="s">
        <v>3068</v>
      </c>
      <c r="G61" s="89" t="s">
        <v>3069</v>
      </c>
    </row>
    <row r="62" customFormat="false" ht="36.75" hidden="false" customHeight="true" outlineLevel="0" collapsed="false">
      <c r="A62" s="92" t="s">
        <v>2438</v>
      </c>
      <c r="B62" s="88" t="s">
        <v>740</v>
      </c>
      <c r="C62" s="89" t="s">
        <v>741</v>
      </c>
      <c r="D62" s="89" t="s">
        <v>3070</v>
      </c>
      <c r="E62" s="89" t="s">
        <v>3071</v>
      </c>
      <c r="F62" s="89" t="s">
        <v>3068</v>
      </c>
      <c r="G62" s="89" t="s">
        <v>3069</v>
      </c>
    </row>
    <row r="63" customFormat="false" ht="45.75" hidden="false" customHeight="true" outlineLevel="0" collapsed="false">
      <c r="A63" s="92" t="s">
        <v>2438</v>
      </c>
      <c r="B63" s="88" t="s">
        <v>749</v>
      </c>
      <c r="C63" s="89" t="s">
        <v>751</v>
      </c>
      <c r="D63" s="89" t="s">
        <v>3072</v>
      </c>
      <c r="E63" s="89" t="s">
        <v>3073</v>
      </c>
      <c r="F63" s="89" t="s">
        <v>3068</v>
      </c>
      <c r="G63" s="89" t="s">
        <v>3069</v>
      </c>
    </row>
    <row r="64" customFormat="false" ht="36.75" hidden="false" customHeight="true" outlineLevel="0" collapsed="false">
      <c r="A64" s="92" t="s">
        <v>2438</v>
      </c>
      <c r="B64" s="88" t="s">
        <v>759</v>
      </c>
      <c r="C64" s="89" t="s">
        <v>760</v>
      </c>
      <c r="D64" s="89" t="s">
        <v>3074</v>
      </c>
      <c r="E64" s="89" t="s">
        <v>3075</v>
      </c>
      <c r="F64" s="89" t="s">
        <v>3068</v>
      </c>
      <c r="G64" s="89" t="s">
        <v>3069</v>
      </c>
    </row>
    <row r="65" customFormat="false" ht="36.75" hidden="false" customHeight="true" outlineLevel="0" collapsed="false">
      <c r="A65" s="92" t="s">
        <v>2438</v>
      </c>
      <c r="B65" s="88" t="s">
        <v>768</v>
      </c>
      <c r="C65" s="89" t="s">
        <v>770</v>
      </c>
      <c r="D65" s="89" t="s">
        <v>3076</v>
      </c>
      <c r="E65" s="89" t="s">
        <v>3077</v>
      </c>
      <c r="F65" s="89" t="s">
        <v>3068</v>
      </c>
      <c r="G65" s="89" t="s">
        <v>3069</v>
      </c>
    </row>
    <row r="66" customFormat="false" ht="36.75" hidden="false" customHeight="true" outlineLevel="0" collapsed="false">
      <c r="A66" s="92" t="s">
        <v>2438</v>
      </c>
      <c r="B66" s="88" t="s">
        <v>778</v>
      </c>
      <c r="C66" s="89" t="s">
        <v>779</v>
      </c>
      <c r="D66" s="89" t="s">
        <v>3078</v>
      </c>
      <c r="E66" s="89" t="s">
        <v>3079</v>
      </c>
      <c r="F66" s="89" t="s">
        <v>3068</v>
      </c>
      <c r="G66" s="89" t="s">
        <v>3069</v>
      </c>
    </row>
    <row r="67" customFormat="false" ht="27.75" hidden="false" customHeight="true" outlineLevel="0" collapsed="false">
      <c r="A67" s="92" t="s">
        <v>2438</v>
      </c>
      <c r="B67" s="88" t="s">
        <v>787</v>
      </c>
      <c r="C67" s="89" t="s">
        <v>788</v>
      </c>
      <c r="D67" s="89" t="s">
        <v>3080</v>
      </c>
      <c r="E67" s="89" t="s">
        <v>3081</v>
      </c>
      <c r="F67" s="89" t="s">
        <v>3068</v>
      </c>
      <c r="G67" s="89" t="s">
        <v>3069</v>
      </c>
    </row>
    <row r="68" customFormat="false" ht="36.75" hidden="false" customHeight="true" outlineLevel="0" collapsed="false">
      <c r="A68" s="92" t="s">
        <v>2438</v>
      </c>
      <c r="B68" s="88" t="s">
        <v>796</v>
      </c>
      <c r="C68" s="89" t="s">
        <v>797</v>
      </c>
      <c r="D68" s="89" t="s">
        <v>3082</v>
      </c>
      <c r="E68" s="89" t="s">
        <v>3083</v>
      </c>
      <c r="F68" s="89" t="s">
        <v>3068</v>
      </c>
      <c r="G68" s="89" t="s">
        <v>3069</v>
      </c>
    </row>
    <row r="69" customFormat="false" ht="36.75" hidden="false" customHeight="true" outlineLevel="0" collapsed="false">
      <c r="A69" s="92" t="s">
        <v>2438</v>
      </c>
      <c r="B69" s="88" t="s">
        <v>805</v>
      </c>
      <c r="C69" s="89" t="s">
        <v>806</v>
      </c>
      <c r="D69" s="89" t="s">
        <v>3084</v>
      </c>
      <c r="E69" s="89" t="s">
        <v>3085</v>
      </c>
      <c r="F69" s="89" t="s">
        <v>3068</v>
      </c>
      <c r="G69" s="89" t="s">
        <v>3069</v>
      </c>
    </row>
    <row r="70" customFormat="false" ht="27.75" hidden="false" customHeight="true" outlineLevel="0" collapsed="false">
      <c r="A70" s="92" t="s">
        <v>2438</v>
      </c>
      <c r="B70" s="88" t="s">
        <v>814</v>
      </c>
      <c r="C70" s="89" t="s">
        <v>816</v>
      </c>
      <c r="D70" s="89" t="s">
        <v>3086</v>
      </c>
      <c r="E70" s="89" t="s">
        <v>3087</v>
      </c>
      <c r="F70" s="89" t="s">
        <v>3068</v>
      </c>
      <c r="G70" s="89" t="s">
        <v>3069</v>
      </c>
    </row>
    <row r="71" customFormat="false" ht="27.75" hidden="false" customHeight="true" outlineLevel="0" collapsed="false">
      <c r="A71" s="92" t="s">
        <v>2438</v>
      </c>
      <c r="B71" s="88" t="s">
        <v>824</v>
      </c>
      <c r="C71" s="89" t="s">
        <v>825</v>
      </c>
      <c r="D71" s="89" t="s">
        <v>3088</v>
      </c>
      <c r="E71" s="89" t="s">
        <v>3089</v>
      </c>
      <c r="F71" s="89" t="s">
        <v>3068</v>
      </c>
      <c r="G71" s="89" t="s">
        <v>3069</v>
      </c>
    </row>
    <row r="72" customFormat="false" ht="27.75" hidden="false" customHeight="true" outlineLevel="0" collapsed="false">
      <c r="A72" s="92" t="s">
        <v>2438</v>
      </c>
      <c r="B72" s="88" t="s">
        <v>833</v>
      </c>
      <c r="C72" s="89" t="s">
        <v>834</v>
      </c>
      <c r="D72" s="89" t="s">
        <v>3090</v>
      </c>
      <c r="E72" s="89" t="s">
        <v>3091</v>
      </c>
      <c r="F72" s="89" t="s">
        <v>3068</v>
      </c>
      <c r="G72" s="89" t="s">
        <v>3069</v>
      </c>
    </row>
    <row r="73" customFormat="false" ht="36.75" hidden="false" customHeight="true" outlineLevel="0" collapsed="false">
      <c r="A73" s="92" t="s">
        <v>2438</v>
      </c>
      <c r="B73" s="88" t="s">
        <v>842</v>
      </c>
      <c r="C73" s="89" t="s">
        <v>844</v>
      </c>
      <c r="D73" s="89" t="s">
        <v>3092</v>
      </c>
      <c r="E73" s="89" t="s">
        <v>3093</v>
      </c>
      <c r="F73" s="89" t="s">
        <v>3068</v>
      </c>
      <c r="G73" s="89" t="s">
        <v>3069</v>
      </c>
    </row>
    <row r="74" customFormat="false" ht="36.75" hidden="false" customHeight="true" outlineLevel="0" collapsed="false">
      <c r="A74" s="92" t="s">
        <v>2438</v>
      </c>
      <c r="B74" s="88" t="s">
        <v>852</v>
      </c>
      <c r="C74" s="89" t="s">
        <v>853</v>
      </c>
      <c r="D74" s="89" t="s">
        <v>3094</v>
      </c>
      <c r="E74" s="89" t="s">
        <v>3095</v>
      </c>
      <c r="F74" s="89" t="s">
        <v>3068</v>
      </c>
      <c r="G74" s="89" t="s">
        <v>3069</v>
      </c>
    </row>
    <row r="75" customFormat="false" ht="45.75" hidden="false" customHeight="true" outlineLevel="0" collapsed="false">
      <c r="A75" s="92" t="s">
        <v>2438</v>
      </c>
      <c r="B75" s="88" t="s">
        <v>861</v>
      </c>
      <c r="C75" s="89" t="s">
        <v>863</v>
      </c>
      <c r="D75" s="89" t="s">
        <v>3096</v>
      </c>
      <c r="E75" s="89" t="s">
        <v>3097</v>
      </c>
      <c r="F75" s="89" t="s">
        <v>3068</v>
      </c>
      <c r="G75" s="89" t="s">
        <v>3069</v>
      </c>
    </row>
    <row r="76" customFormat="false" ht="36.75" hidden="false" customHeight="true" outlineLevel="0" collapsed="false">
      <c r="A76" s="92" t="s">
        <v>2438</v>
      </c>
      <c r="B76" s="88" t="s">
        <v>871</v>
      </c>
      <c r="C76" s="89" t="s">
        <v>872</v>
      </c>
      <c r="D76" s="89" t="s">
        <v>3098</v>
      </c>
      <c r="E76" s="89" t="s">
        <v>3099</v>
      </c>
      <c r="F76" s="89" t="s">
        <v>3068</v>
      </c>
      <c r="G76" s="89" t="s">
        <v>3069</v>
      </c>
    </row>
    <row r="77" customFormat="false" ht="54.75" hidden="false" customHeight="true" outlineLevel="0" collapsed="false">
      <c r="A77" s="93" t="s">
        <v>2711</v>
      </c>
      <c r="B77" s="88" t="s">
        <v>880</v>
      </c>
      <c r="C77" s="89" t="s">
        <v>882</v>
      </c>
      <c r="D77" s="89" t="s">
        <v>3100</v>
      </c>
      <c r="E77" s="89" t="s">
        <v>3101</v>
      </c>
      <c r="F77" s="89" t="s">
        <v>3102</v>
      </c>
      <c r="G77" s="89" t="s">
        <v>3103</v>
      </c>
    </row>
    <row r="78" customFormat="false" ht="36.75" hidden="false" customHeight="true" outlineLevel="0" collapsed="false">
      <c r="A78" s="93" t="s">
        <v>2711</v>
      </c>
      <c r="B78" s="88" t="s">
        <v>890</v>
      </c>
      <c r="C78" s="89" t="s">
        <v>892</v>
      </c>
      <c r="D78" s="89" t="s">
        <v>3104</v>
      </c>
      <c r="E78" s="89" t="s">
        <v>3105</v>
      </c>
      <c r="F78" s="89" t="s">
        <v>3102</v>
      </c>
      <c r="G78" s="89" t="s">
        <v>3103</v>
      </c>
    </row>
    <row r="79" customFormat="false" ht="27.75" hidden="false" customHeight="true" outlineLevel="0" collapsed="false">
      <c r="A79" s="93" t="s">
        <v>2711</v>
      </c>
      <c r="B79" s="88" t="s">
        <v>900</v>
      </c>
      <c r="C79" s="89" t="s">
        <v>901</v>
      </c>
      <c r="D79" s="89" t="s">
        <v>3106</v>
      </c>
      <c r="E79" s="89" t="s">
        <v>3107</v>
      </c>
      <c r="F79" s="89" t="s">
        <v>3102</v>
      </c>
      <c r="G79" s="89" t="s">
        <v>3103</v>
      </c>
    </row>
    <row r="80" customFormat="false" ht="36.75" hidden="false" customHeight="true" outlineLevel="0" collapsed="false">
      <c r="A80" s="93" t="s">
        <v>2711</v>
      </c>
      <c r="B80" s="88" t="s">
        <v>909</v>
      </c>
      <c r="C80" s="89" t="s">
        <v>910</v>
      </c>
      <c r="D80" s="89" t="s">
        <v>3108</v>
      </c>
      <c r="E80" s="89" t="s">
        <v>3109</v>
      </c>
      <c r="F80" s="89" t="s">
        <v>3102</v>
      </c>
      <c r="G80" s="89" t="s">
        <v>3103</v>
      </c>
    </row>
    <row r="81" customFormat="false" ht="36.75" hidden="false" customHeight="true" outlineLevel="0" collapsed="false">
      <c r="A81" s="93" t="s">
        <v>2711</v>
      </c>
      <c r="B81" s="88" t="s">
        <v>918</v>
      </c>
      <c r="C81" s="89" t="s">
        <v>919</v>
      </c>
      <c r="D81" s="89" t="s">
        <v>3110</v>
      </c>
      <c r="E81" s="89" t="s">
        <v>3111</v>
      </c>
      <c r="F81" s="89" t="s">
        <v>3102</v>
      </c>
      <c r="G81" s="89" t="s">
        <v>3103</v>
      </c>
    </row>
    <row r="82" customFormat="false" ht="36.75" hidden="false" customHeight="true" outlineLevel="0" collapsed="false">
      <c r="A82" s="93" t="s">
        <v>2711</v>
      </c>
      <c r="B82" s="88" t="s">
        <v>927</v>
      </c>
      <c r="C82" s="89" t="s">
        <v>928</v>
      </c>
      <c r="D82" s="89" t="s">
        <v>3112</v>
      </c>
      <c r="E82" s="89" t="s">
        <v>3113</v>
      </c>
      <c r="F82" s="89" t="s">
        <v>3102</v>
      </c>
      <c r="G82" s="89" t="s">
        <v>3103</v>
      </c>
    </row>
    <row r="83" customFormat="false" ht="36.75" hidden="false" customHeight="true" outlineLevel="0" collapsed="false">
      <c r="A83" s="93" t="s">
        <v>2711</v>
      </c>
      <c r="B83" s="88" t="s">
        <v>936</v>
      </c>
      <c r="C83" s="89" t="s">
        <v>938</v>
      </c>
      <c r="D83" s="89" t="s">
        <v>3114</v>
      </c>
      <c r="E83" s="89" t="s">
        <v>3115</v>
      </c>
      <c r="F83" s="89" t="s">
        <v>3102</v>
      </c>
      <c r="G83" s="89" t="s">
        <v>3103</v>
      </c>
    </row>
    <row r="84" customFormat="false" ht="45.75" hidden="false" customHeight="true" outlineLevel="0" collapsed="false">
      <c r="A84" s="93" t="s">
        <v>2711</v>
      </c>
      <c r="B84" s="88" t="s">
        <v>946</v>
      </c>
      <c r="C84" s="89" t="s">
        <v>947</v>
      </c>
      <c r="D84" s="89" t="s">
        <v>3116</v>
      </c>
      <c r="E84" s="89" t="s">
        <v>3117</v>
      </c>
      <c r="F84" s="89" t="s">
        <v>3102</v>
      </c>
      <c r="G84" s="89" t="s">
        <v>3103</v>
      </c>
    </row>
    <row r="85" customFormat="false" ht="36.75" hidden="false" customHeight="true" outlineLevel="0" collapsed="false">
      <c r="A85" s="93" t="s">
        <v>2711</v>
      </c>
      <c r="B85" s="88" t="s">
        <v>955</v>
      </c>
      <c r="C85" s="89" t="s">
        <v>956</v>
      </c>
      <c r="D85" s="89" t="s">
        <v>3118</v>
      </c>
      <c r="E85" s="89" t="s">
        <v>3119</v>
      </c>
      <c r="F85" s="89" t="s">
        <v>3102</v>
      </c>
      <c r="G85" s="89" t="s">
        <v>3103</v>
      </c>
    </row>
    <row r="86" customFormat="false" ht="36.75" hidden="false" customHeight="true" outlineLevel="0" collapsed="false">
      <c r="A86" s="93" t="s">
        <v>2711</v>
      </c>
      <c r="B86" s="88" t="s">
        <v>964</v>
      </c>
      <c r="C86" s="89" t="s">
        <v>966</v>
      </c>
      <c r="D86" s="89" t="s">
        <v>3120</v>
      </c>
      <c r="E86" s="89" t="s">
        <v>3121</v>
      </c>
      <c r="F86" s="89" t="s">
        <v>3102</v>
      </c>
      <c r="G86" s="89" t="s">
        <v>3103</v>
      </c>
    </row>
    <row r="87" customFormat="false" ht="36.75" hidden="false" customHeight="true" outlineLevel="0" collapsed="false">
      <c r="A87" s="93" t="s">
        <v>2711</v>
      </c>
      <c r="B87" s="88" t="s">
        <v>974</v>
      </c>
      <c r="C87" s="89" t="s">
        <v>975</v>
      </c>
      <c r="D87" s="89" t="s">
        <v>3122</v>
      </c>
      <c r="E87" s="89" t="s">
        <v>3123</v>
      </c>
      <c r="F87" s="89" t="s">
        <v>3102</v>
      </c>
      <c r="G87" s="89" t="s">
        <v>3103</v>
      </c>
    </row>
  </sheetData>
  <mergeCells count="2">
    <mergeCell ref="A2:I2"/>
    <mergeCell ref="A3:I3"/>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2"/>
    <col collapsed="false" customWidth="true" hidden="false" outlineLevel="0" max="4" min="4" style="1" width="16"/>
    <col collapsed="false" customWidth="true" hidden="false" outlineLevel="0" max="5" min="5" style="1" width="30"/>
    <col collapsed="false" customWidth="true" hidden="false" outlineLevel="0" max="6" min="6" style="1" width="26"/>
  </cols>
  <sheetData>
    <row r="1" customFormat="false" ht="18" hidden="false" customHeight="true" outlineLevel="0" collapsed="false">
      <c r="A1" s="78" t="s">
        <v>56</v>
      </c>
      <c r="B1" s="2"/>
      <c r="C1" s="2"/>
      <c r="D1" s="2"/>
      <c r="E1" s="2"/>
      <c r="F1" s="2"/>
      <c r="G1" s="2"/>
    </row>
    <row r="2" customFormat="false" ht="25.5" hidden="false" customHeight="true" outlineLevel="0" collapsed="false">
      <c r="A2" s="79" t="s">
        <v>3124</v>
      </c>
      <c r="B2" s="79"/>
      <c r="C2" s="79"/>
      <c r="D2" s="79"/>
      <c r="E2" s="79"/>
      <c r="F2" s="79"/>
      <c r="G2" s="79"/>
    </row>
    <row r="3" customFormat="false" ht="21.75" hidden="false" customHeight="true" outlineLevel="0" collapsed="false">
      <c r="A3" s="72" t="s">
        <v>3125</v>
      </c>
      <c r="B3" s="72"/>
      <c r="C3" s="72"/>
      <c r="D3" s="72"/>
      <c r="E3" s="72"/>
      <c r="F3" s="72"/>
      <c r="G3" s="72"/>
    </row>
    <row r="5" customFormat="false" ht="15" hidden="false" customHeight="true" outlineLevel="0" collapsed="false">
      <c r="A5" s="76" t="s">
        <v>205</v>
      </c>
      <c r="B5" s="76" t="s">
        <v>3126</v>
      </c>
      <c r="C5" s="76" t="s">
        <v>3127</v>
      </c>
      <c r="D5" s="76" t="s">
        <v>3128</v>
      </c>
      <c r="E5" s="76" t="s">
        <v>3129</v>
      </c>
      <c r="F5" s="76" t="s">
        <v>3130</v>
      </c>
    </row>
    <row r="6" customFormat="false" ht="15" hidden="false" customHeight="true" outlineLevel="0" collapsed="false">
      <c r="A6" s="94" t="s">
        <v>3131</v>
      </c>
      <c r="B6" s="95" t="s">
        <v>3132</v>
      </c>
      <c r="C6" s="95" t="s">
        <v>3133</v>
      </c>
      <c r="D6" s="95" t="s">
        <v>3134</v>
      </c>
      <c r="E6" s="95" t="s">
        <v>3135</v>
      </c>
      <c r="F6" s="95" t="s">
        <v>3136</v>
      </c>
    </row>
    <row r="7" customFormat="false" ht="15" hidden="false" customHeight="true" outlineLevel="0" collapsed="false">
      <c r="A7" s="94" t="s">
        <v>3137</v>
      </c>
      <c r="B7" s="95" t="s">
        <v>3138</v>
      </c>
      <c r="C7" s="95" t="s">
        <v>3139</v>
      </c>
      <c r="D7" s="95" t="s">
        <v>3140</v>
      </c>
      <c r="E7" s="95" t="s">
        <v>3141</v>
      </c>
      <c r="F7" s="95" t="s">
        <v>3142</v>
      </c>
    </row>
    <row r="8" customFormat="false" ht="15" hidden="false" customHeight="true" outlineLevel="0" collapsed="false">
      <c r="A8" s="94" t="s">
        <v>3143</v>
      </c>
      <c r="B8" s="95" t="s">
        <v>3144</v>
      </c>
      <c r="C8" s="95" t="s">
        <v>3145</v>
      </c>
      <c r="D8" s="95" t="s">
        <v>3146</v>
      </c>
      <c r="E8" s="95" t="s">
        <v>3147</v>
      </c>
      <c r="F8" s="95" t="s">
        <v>3148</v>
      </c>
    </row>
    <row r="9" customFormat="false" ht="15" hidden="false" customHeight="true" outlineLevel="0" collapsed="false">
      <c r="A9" s="94" t="s">
        <v>3149</v>
      </c>
      <c r="B9" s="95" t="s">
        <v>3150</v>
      </c>
      <c r="C9" s="95" t="s">
        <v>3151</v>
      </c>
      <c r="D9" s="95" t="s">
        <v>3152</v>
      </c>
      <c r="E9" s="95" t="s">
        <v>3153</v>
      </c>
      <c r="F9" s="95" t="s">
        <v>3154</v>
      </c>
    </row>
    <row r="10" customFormat="false" ht="15" hidden="false" customHeight="true" outlineLevel="0" collapsed="false">
      <c r="A10" s="94" t="s">
        <v>3155</v>
      </c>
      <c r="B10" s="95" t="s">
        <v>3156</v>
      </c>
      <c r="C10" s="95" t="s">
        <v>3157</v>
      </c>
      <c r="D10" s="95" t="s">
        <v>3158</v>
      </c>
      <c r="E10" s="95" t="s">
        <v>3159</v>
      </c>
      <c r="F10" s="95" t="s">
        <v>3160</v>
      </c>
    </row>
    <row r="11" customFormat="false" ht="15" hidden="false" customHeight="true" outlineLevel="0" collapsed="false">
      <c r="A11" s="94" t="s">
        <v>3161</v>
      </c>
      <c r="B11" s="95" t="s">
        <v>3162</v>
      </c>
      <c r="C11" s="95" t="s">
        <v>3163</v>
      </c>
      <c r="D11" s="95" t="s">
        <v>3164</v>
      </c>
      <c r="E11" s="95" t="s">
        <v>3165</v>
      </c>
      <c r="F11" s="95" t="s">
        <v>3166</v>
      </c>
    </row>
    <row r="12" customFormat="false" ht="15" hidden="false" customHeight="true" outlineLevel="0" collapsed="false">
      <c r="A12" s="94" t="s">
        <v>3167</v>
      </c>
      <c r="B12" s="95" t="s">
        <v>3168</v>
      </c>
      <c r="C12" s="95" t="s">
        <v>3169</v>
      </c>
      <c r="D12" s="95" t="s">
        <v>3158</v>
      </c>
      <c r="E12" s="95" t="s">
        <v>3170</v>
      </c>
      <c r="F12" s="95" t="s">
        <v>3171</v>
      </c>
    </row>
    <row r="13" customFormat="false" ht="15" hidden="false" customHeight="true" outlineLevel="0" collapsed="false">
      <c r="A13" s="94" t="s">
        <v>3172</v>
      </c>
      <c r="B13" s="95" t="s">
        <v>3173</v>
      </c>
      <c r="C13" s="95" t="s">
        <v>3174</v>
      </c>
      <c r="D13" s="95" t="s">
        <v>3175</v>
      </c>
      <c r="E13" s="95" t="s">
        <v>3176</v>
      </c>
      <c r="F13" s="95" t="s">
        <v>3177</v>
      </c>
    </row>
    <row r="15" customFormat="false" ht="15" hidden="false" customHeight="true" outlineLevel="0" collapsed="false">
      <c r="A15" s="82" t="s">
        <v>3178</v>
      </c>
    </row>
    <row r="17" customFormat="false" ht="15" hidden="false" customHeight="true" outlineLevel="0" collapsed="false">
      <c r="A17" s="96" t="s">
        <v>3179</v>
      </c>
      <c r="B17" s="96"/>
      <c r="C17" s="96"/>
      <c r="D17" s="96"/>
      <c r="E17" s="96"/>
    </row>
    <row r="18" customFormat="false" ht="15" hidden="false" customHeight="true" outlineLevel="0" collapsed="false">
      <c r="A18" s="55" t="s">
        <v>205</v>
      </c>
      <c r="B18" s="55" t="s">
        <v>3180</v>
      </c>
      <c r="C18" s="55" t="s">
        <v>3181</v>
      </c>
      <c r="D18" s="55" t="s">
        <v>3182</v>
      </c>
      <c r="E18" s="55" t="s">
        <v>3183</v>
      </c>
    </row>
    <row r="19" customFormat="false" ht="31.5" hidden="false" customHeight="true" outlineLevel="0" collapsed="false">
      <c r="A19" s="97" t="s">
        <v>216</v>
      </c>
      <c r="B19" s="98" t="s">
        <v>3184</v>
      </c>
      <c r="C19" s="98" t="s">
        <v>3185</v>
      </c>
      <c r="D19" s="98" t="s">
        <v>3186</v>
      </c>
      <c r="E19" s="98" t="s">
        <v>3187</v>
      </c>
    </row>
    <row r="20" customFormat="false" ht="31.5" hidden="false" customHeight="true" outlineLevel="0" collapsed="false">
      <c r="A20" s="97" t="s">
        <v>226</v>
      </c>
      <c r="B20" s="98" t="s">
        <v>3188</v>
      </c>
      <c r="C20" s="98" t="s">
        <v>3185</v>
      </c>
      <c r="D20" s="98" t="s">
        <v>3189</v>
      </c>
      <c r="E20" s="98" t="s">
        <v>3190</v>
      </c>
    </row>
    <row r="21" customFormat="false" ht="31.5" hidden="false" customHeight="true" outlineLevel="0" collapsed="false">
      <c r="A21" s="97" t="s">
        <v>235</v>
      </c>
      <c r="B21" s="98" t="s">
        <v>3191</v>
      </c>
      <c r="C21" s="98" t="s">
        <v>3192</v>
      </c>
      <c r="D21" s="98" t="s">
        <v>3193</v>
      </c>
      <c r="E21" s="98" t="s">
        <v>3194</v>
      </c>
    </row>
    <row r="22" customFormat="false" ht="31.5" hidden="false" customHeight="true" outlineLevel="0" collapsed="false">
      <c r="A22" s="97" t="s">
        <v>245</v>
      </c>
      <c r="B22" s="98" t="s">
        <v>3195</v>
      </c>
      <c r="C22" s="98" t="s">
        <v>3196</v>
      </c>
      <c r="D22" s="98" t="s">
        <v>3197</v>
      </c>
      <c r="E22" s="98" t="s">
        <v>3198</v>
      </c>
    </row>
    <row r="23" customFormat="false" ht="31.5" hidden="false" customHeight="true" outlineLevel="0" collapsed="false">
      <c r="A23" s="97" t="s">
        <v>254</v>
      </c>
      <c r="B23" s="98" t="s">
        <v>3199</v>
      </c>
      <c r="C23" s="98" t="s">
        <v>3185</v>
      </c>
      <c r="D23" s="98" t="s">
        <v>3189</v>
      </c>
      <c r="E23" s="98" t="s">
        <v>3200</v>
      </c>
    </row>
    <row r="24" customFormat="false" ht="31.5" hidden="false" customHeight="true" outlineLevel="0" collapsed="false">
      <c r="A24" s="97" t="s">
        <v>264</v>
      </c>
      <c r="B24" s="98" t="s">
        <v>3201</v>
      </c>
      <c r="C24" s="98" t="s">
        <v>3185</v>
      </c>
      <c r="D24" s="98" t="s">
        <v>3197</v>
      </c>
      <c r="E24" s="98" t="s">
        <v>3202</v>
      </c>
    </row>
    <row r="25" customFormat="false" ht="31.5" hidden="false" customHeight="true" outlineLevel="0" collapsed="false">
      <c r="A25" s="97" t="s">
        <v>273</v>
      </c>
      <c r="B25" s="98" t="s">
        <v>3203</v>
      </c>
      <c r="C25" s="98" t="s">
        <v>3185</v>
      </c>
      <c r="D25" s="98" t="s">
        <v>3204</v>
      </c>
      <c r="E25" s="98" t="s">
        <v>3205</v>
      </c>
    </row>
    <row r="26" customFormat="false" ht="31.5" hidden="false" customHeight="true" outlineLevel="0" collapsed="false">
      <c r="A26" s="97" t="s">
        <v>282</v>
      </c>
      <c r="B26" s="98" t="s">
        <v>3206</v>
      </c>
      <c r="C26" s="98" t="s">
        <v>3207</v>
      </c>
      <c r="D26" s="98" t="s">
        <v>3208</v>
      </c>
      <c r="E26" s="98" t="s">
        <v>3209</v>
      </c>
    </row>
    <row r="27" customFormat="false" ht="31.5" hidden="false" customHeight="true" outlineLevel="0" collapsed="false">
      <c r="A27" s="97" t="s">
        <v>291</v>
      </c>
      <c r="B27" s="98" t="s">
        <v>3210</v>
      </c>
      <c r="C27" s="98" t="s">
        <v>3211</v>
      </c>
      <c r="D27" s="98" t="s">
        <v>3212</v>
      </c>
      <c r="E27" s="98" t="s">
        <v>3213</v>
      </c>
    </row>
    <row r="28" customFormat="false" ht="31.5" hidden="false" customHeight="true" outlineLevel="0" collapsed="false">
      <c r="A28" s="97" t="s">
        <v>301</v>
      </c>
      <c r="B28" s="98" t="s">
        <v>3214</v>
      </c>
      <c r="C28" s="98" t="s">
        <v>3192</v>
      </c>
      <c r="D28" s="98" t="s">
        <v>3215</v>
      </c>
      <c r="E28" s="98" t="s">
        <v>3216</v>
      </c>
    </row>
    <row r="29" customFormat="false" ht="31.5" hidden="false" customHeight="true" outlineLevel="0" collapsed="false">
      <c r="A29" s="97" t="s">
        <v>310</v>
      </c>
      <c r="B29" s="98" t="s">
        <v>3217</v>
      </c>
      <c r="C29" s="98" t="s">
        <v>3218</v>
      </c>
      <c r="D29" s="98" t="s">
        <v>3204</v>
      </c>
      <c r="E29" s="98" t="s">
        <v>3219</v>
      </c>
    </row>
    <row r="30" customFormat="false" ht="31.5" hidden="false" customHeight="true" outlineLevel="0" collapsed="false">
      <c r="A30" s="97" t="s">
        <v>320</v>
      </c>
      <c r="B30" s="98" t="s">
        <v>3220</v>
      </c>
      <c r="C30" s="98" t="s">
        <v>3221</v>
      </c>
      <c r="D30" s="98" t="s">
        <v>3222</v>
      </c>
      <c r="E30" s="98" t="s">
        <v>3223</v>
      </c>
    </row>
    <row r="31" customFormat="false" ht="31.5" hidden="false" customHeight="true" outlineLevel="0" collapsed="false">
      <c r="A31" s="97" t="s">
        <v>329</v>
      </c>
      <c r="B31" s="98" t="s">
        <v>3224</v>
      </c>
      <c r="C31" s="98" t="s">
        <v>3207</v>
      </c>
      <c r="D31" s="98" t="s">
        <v>3225</v>
      </c>
      <c r="E31" s="98" t="s">
        <v>3226</v>
      </c>
    </row>
    <row r="32" customFormat="false" ht="31.5" hidden="false" customHeight="true" outlineLevel="0" collapsed="false">
      <c r="A32" s="97" t="s">
        <v>339</v>
      </c>
      <c r="B32" s="98" t="s">
        <v>3227</v>
      </c>
      <c r="C32" s="98" t="s">
        <v>3192</v>
      </c>
      <c r="D32" s="98" t="s">
        <v>3228</v>
      </c>
      <c r="E32" s="98" t="s">
        <v>3229</v>
      </c>
    </row>
    <row r="33" customFormat="false" ht="31.5" hidden="false" customHeight="true" outlineLevel="0" collapsed="false">
      <c r="A33" s="97" t="s">
        <v>348</v>
      </c>
      <c r="B33" s="98" t="s">
        <v>3230</v>
      </c>
      <c r="C33" s="98" t="s">
        <v>3192</v>
      </c>
      <c r="D33" s="98" t="s">
        <v>3222</v>
      </c>
      <c r="E33" s="98" t="s">
        <v>3231</v>
      </c>
    </row>
    <row r="34" customFormat="false" ht="31.5" hidden="false" customHeight="true" outlineLevel="0" collapsed="false">
      <c r="A34" s="97" t="s">
        <v>357</v>
      </c>
      <c r="B34" s="98" t="s">
        <v>3232</v>
      </c>
      <c r="C34" s="98" t="s">
        <v>3233</v>
      </c>
      <c r="D34" s="98" t="s">
        <v>3228</v>
      </c>
      <c r="E34" s="98" t="s">
        <v>3234</v>
      </c>
    </row>
    <row r="35" customFormat="false" ht="31.5" hidden="false" customHeight="true" outlineLevel="0" collapsed="false">
      <c r="A35" s="97" t="s">
        <v>366</v>
      </c>
      <c r="B35" s="98" t="s">
        <v>3235</v>
      </c>
      <c r="C35" s="98" t="s">
        <v>3236</v>
      </c>
      <c r="D35" s="98" t="s">
        <v>3189</v>
      </c>
      <c r="E35" s="98" t="s">
        <v>3237</v>
      </c>
    </row>
    <row r="36" customFormat="false" ht="31.5" hidden="false" customHeight="true" outlineLevel="0" collapsed="false">
      <c r="A36" s="97" t="s">
        <v>375</v>
      </c>
      <c r="B36" s="98" t="s">
        <v>3238</v>
      </c>
      <c r="C36" s="98" t="s">
        <v>3211</v>
      </c>
      <c r="D36" s="98" t="s">
        <v>3204</v>
      </c>
      <c r="E36" s="98" t="s">
        <v>3239</v>
      </c>
    </row>
    <row r="37" customFormat="false" ht="31.5" hidden="false" customHeight="true" outlineLevel="0" collapsed="false">
      <c r="A37" s="97" t="s">
        <v>385</v>
      </c>
      <c r="B37" s="98" t="s">
        <v>3240</v>
      </c>
      <c r="C37" s="98" t="s">
        <v>3241</v>
      </c>
      <c r="D37" s="98" t="s">
        <v>3242</v>
      </c>
      <c r="E37" s="98" t="s">
        <v>3243</v>
      </c>
    </row>
    <row r="39" customFormat="false" ht="15" hidden="false" customHeight="true" outlineLevel="0" collapsed="false">
      <c r="A39" s="96" t="s">
        <v>3244</v>
      </c>
      <c r="B39" s="96"/>
      <c r="C39" s="96"/>
      <c r="D39" s="96"/>
      <c r="E39" s="96"/>
    </row>
    <row r="40" customFormat="false" ht="15" hidden="false" customHeight="true" outlineLevel="0" collapsed="false">
      <c r="A40" s="55" t="s">
        <v>205</v>
      </c>
      <c r="B40" s="55" t="s">
        <v>3180</v>
      </c>
      <c r="C40" s="55" t="s">
        <v>3181</v>
      </c>
      <c r="D40" s="55" t="s">
        <v>3182</v>
      </c>
      <c r="E40" s="55" t="s">
        <v>3183</v>
      </c>
    </row>
    <row r="41" customFormat="false" ht="31.5" hidden="false" customHeight="true" outlineLevel="0" collapsed="false">
      <c r="A41" s="97" t="s">
        <v>394</v>
      </c>
      <c r="B41" s="98" t="s">
        <v>3245</v>
      </c>
      <c r="C41" s="98" t="s">
        <v>3211</v>
      </c>
      <c r="D41" s="98" t="s">
        <v>3228</v>
      </c>
      <c r="E41" s="98" t="s">
        <v>3246</v>
      </c>
    </row>
    <row r="42" customFormat="false" ht="31.5" hidden="false" customHeight="true" outlineLevel="0" collapsed="false">
      <c r="A42" s="97" t="s">
        <v>404</v>
      </c>
      <c r="B42" s="98" t="s">
        <v>3247</v>
      </c>
      <c r="C42" s="98" t="s">
        <v>3248</v>
      </c>
      <c r="D42" s="98" t="s">
        <v>3197</v>
      </c>
      <c r="E42" s="98" t="s">
        <v>3234</v>
      </c>
    </row>
    <row r="43" customFormat="false" ht="31.5" hidden="false" customHeight="true" outlineLevel="0" collapsed="false">
      <c r="A43" s="97" t="s">
        <v>413</v>
      </c>
      <c r="B43" s="98" t="s">
        <v>3249</v>
      </c>
      <c r="C43" s="98" t="s">
        <v>3250</v>
      </c>
      <c r="D43" s="98" t="s">
        <v>3204</v>
      </c>
      <c r="E43" s="98" t="s">
        <v>3251</v>
      </c>
    </row>
    <row r="44" customFormat="false" ht="31.5" hidden="false" customHeight="true" outlineLevel="0" collapsed="false">
      <c r="A44" s="97" t="s">
        <v>422</v>
      </c>
      <c r="B44" s="98" t="s">
        <v>3252</v>
      </c>
      <c r="C44" s="98" t="s">
        <v>3253</v>
      </c>
      <c r="D44" s="98" t="s">
        <v>3197</v>
      </c>
      <c r="E44" s="98" t="s">
        <v>3254</v>
      </c>
    </row>
    <row r="45" customFormat="false" ht="31.5" hidden="false" customHeight="true" outlineLevel="0" collapsed="false">
      <c r="A45" s="97" t="s">
        <v>432</v>
      </c>
      <c r="B45" s="98" t="s">
        <v>3255</v>
      </c>
      <c r="C45" s="98" t="s">
        <v>3211</v>
      </c>
      <c r="D45" s="98" t="s">
        <v>3204</v>
      </c>
      <c r="E45" s="98" t="s">
        <v>3256</v>
      </c>
    </row>
    <row r="46" customFormat="false" ht="31.5" hidden="false" customHeight="true" outlineLevel="0" collapsed="false">
      <c r="A46" s="97" t="s">
        <v>441</v>
      </c>
      <c r="B46" s="98" t="s">
        <v>3257</v>
      </c>
      <c r="C46" s="98" t="s">
        <v>3185</v>
      </c>
      <c r="D46" s="98" t="s">
        <v>3189</v>
      </c>
      <c r="E46" s="98" t="s">
        <v>3258</v>
      </c>
    </row>
    <row r="47" customFormat="false" ht="31.5" hidden="false" customHeight="true" outlineLevel="0" collapsed="false">
      <c r="A47" s="97" t="s">
        <v>450</v>
      </c>
      <c r="B47" s="98" t="s">
        <v>3259</v>
      </c>
      <c r="C47" s="98" t="s">
        <v>3248</v>
      </c>
      <c r="D47" s="98" t="s">
        <v>3197</v>
      </c>
      <c r="E47" s="98" t="s">
        <v>3260</v>
      </c>
    </row>
    <row r="48" customFormat="false" ht="31.5" hidden="false" customHeight="true" outlineLevel="0" collapsed="false">
      <c r="A48" s="97" t="s">
        <v>460</v>
      </c>
      <c r="B48" s="98" t="s">
        <v>3261</v>
      </c>
      <c r="C48" s="98" t="s">
        <v>3262</v>
      </c>
      <c r="D48" s="98" t="s">
        <v>3228</v>
      </c>
      <c r="E48" s="98" t="s">
        <v>3263</v>
      </c>
    </row>
    <row r="49" customFormat="false" ht="31.5" hidden="false" customHeight="true" outlineLevel="0" collapsed="false">
      <c r="A49" s="97" t="s">
        <v>469</v>
      </c>
      <c r="B49" s="98" t="s">
        <v>3264</v>
      </c>
      <c r="C49" s="98" t="s">
        <v>3265</v>
      </c>
      <c r="D49" s="98" t="s">
        <v>3197</v>
      </c>
      <c r="E49" s="98" t="s">
        <v>3266</v>
      </c>
    </row>
    <row r="50" customFormat="false" ht="31.5" hidden="false" customHeight="true" outlineLevel="0" collapsed="false">
      <c r="A50" s="97" t="s">
        <v>478</v>
      </c>
      <c r="B50" s="98" t="s">
        <v>3267</v>
      </c>
      <c r="C50" s="98" t="s">
        <v>3262</v>
      </c>
      <c r="D50" s="98" t="s">
        <v>3228</v>
      </c>
      <c r="E50" s="98" t="s">
        <v>3268</v>
      </c>
    </row>
    <row r="51" customFormat="false" ht="31.5" hidden="false" customHeight="true" outlineLevel="0" collapsed="false">
      <c r="A51" s="97" t="s">
        <v>488</v>
      </c>
      <c r="B51" s="98" t="s">
        <v>3269</v>
      </c>
      <c r="C51" s="98" t="s">
        <v>3253</v>
      </c>
      <c r="D51" s="98" t="s">
        <v>3197</v>
      </c>
      <c r="E51" s="98" t="s">
        <v>3270</v>
      </c>
    </row>
    <row r="52" customFormat="false" ht="31.5" hidden="false" customHeight="true" outlineLevel="0" collapsed="false">
      <c r="A52" s="97" t="s">
        <v>497</v>
      </c>
      <c r="B52" s="98" t="s">
        <v>3271</v>
      </c>
      <c r="C52" s="98" t="s">
        <v>3185</v>
      </c>
      <c r="D52" s="98" t="s">
        <v>3204</v>
      </c>
      <c r="E52" s="98" t="s">
        <v>3272</v>
      </c>
    </row>
    <row r="53" customFormat="false" ht="31.5" hidden="false" customHeight="true" outlineLevel="0" collapsed="false">
      <c r="A53" s="97" t="s">
        <v>506</v>
      </c>
      <c r="B53" s="98" t="s">
        <v>3273</v>
      </c>
      <c r="C53" s="98" t="s">
        <v>3211</v>
      </c>
      <c r="D53" s="98" t="s">
        <v>3197</v>
      </c>
      <c r="E53" s="98" t="s">
        <v>3274</v>
      </c>
    </row>
    <row r="54" customFormat="false" ht="31.5" hidden="false" customHeight="true" outlineLevel="0" collapsed="false">
      <c r="A54" s="97" t="s">
        <v>516</v>
      </c>
      <c r="B54" s="98" t="s">
        <v>3275</v>
      </c>
      <c r="C54" s="98" t="s">
        <v>3276</v>
      </c>
      <c r="D54" s="98" t="s">
        <v>3277</v>
      </c>
      <c r="E54" s="98" t="s">
        <v>3278</v>
      </c>
    </row>
    <row r="55" customFormat="false" ht="31.5" hidden="false" customHeight="true" outlineLevel="0" collapsed="false">
      <c r="A55" s="97" t="s">
        <v>525</v>
      </c>
      <c r="B55" s="98" t="s">
        <v>3279</v>
      </c>
      <c r="C55" s="98" t="s">
        <v>3185</v>
      </c>
      <c r="D55" s="98" t="s">
        <v>3204</v>
      </c>
      <c r="E55" s="98" t="s">
        <v>3280</v>
      </c>
    </row>
    <row r="56" customFormat="false" ht="31.5" hidden="false" customHeight="true" outlineLevel="0" collapsed="false">
      <c r="A56" s="97" t="s">
        <v>534</v>
      </c>
      <c r="B56" s="98" t="s">
        <v>3281</v>
      </c>
      <c r="C56" s="98" t="s">
        <v>3211</v>
      </c>
      <c r="D56" s="98" t="s">
        <v>3277</v>
      </c>
      <c r="E56" s="98" t="s">
        <v>3282</v>
      </c>
    </row>
    <row r="57" customFormat="false" ht="31.5" hidden="false" customHeight="true" outlineLevel="0" collapsed="false">
      <c r="A57" s="97" t="s">
        <v>544</v>
      </c>
      <c r="B57" s="98" t="s">
        <v>3283</v>
      </c>
      <c r="C57" s="98" t="s">
        <v>3262</v>
      </c>
      <c r="D57" s="98" t="s">
        <v>3228</v>
      </c>
      <c r="E57" s="98" t="s">
        <v>3284</v>
      </c>
    </row>
    <row r="58" customFormat="false" ht="31.5" hidden="false" customHeight="true" outlineLevel="0" collapsed="false">
      <c r="A58" s="97" t="s">
        <v>553</v>
      </c>
      <c r="B58" s="98" t="s">
        <v>3285</v>
      </c>
      <c r="C58" s="98" t="s">
        <v>3253</v>
      </c>
      <c r="D58" s="98" t="s">
        <v>3197</v>
      </c>
      <c r="E58" s="98" t="s">
        <v>3286</v>
      </c>
    </row>
    <row r="59" customFormat="false" ht="31.5" hidden="false" customHeight="true" outlineLevel="0" collapsed="false">
      <c r="A59" s="97" t="s">
        <v>563</v>
      </c>
      <c r="B59" s="98" t="s">
        <v>3287</v>
      </c>
      <c r="C59" s="98" t="s">
        <v>3288</v>
      </c>
      <c r="D59" s="98" t="s">
        <v>3228</v>
      </c>
      <c r="E59" s="98" t="s">
        <v>3289</v>
      </c>
    </row>
    <row r="60" customFormat="false" ht="31.5" hidden="false" customHeight="true" outlineLevel="0" collapsed="false">
      <c r="A60" s="97" t="s">
        <v>572</v>
      </c>
      <c r="B60" s="98" t="s">
        <v>3290</v>
      </c>
      <c r="C60" s="98" t="s">
        <v>3236</v>
      </c>
      <c r="D60" s="98" t="s">
        <v>3197</v>
      </c>
      <c r="E60" s="98" t="s">
        <v>3291</v>
      </c>
    </row>
    <row r="61" customFormat="false" ht="31.5" hidden="false" customHeight="true" outlineLevel="0" collapsed="false">
      <c r="A61" s="97" t="s">
        <v>581</v>
      </c>
      <c r="B61" s="98" t="s">
        <v>3292</v>
      </c>
      <c r="C61" s="98" t="s">
        <v>3241</v>
      </c>
      <c r="D61" s="98" t="s">
        <v>3197</v>
      </c>
      <c r="E61" s="98" t="s">
        <v>3293</v>
      </c>
    </row>
    <row r="62" customFormat="false" ht="31.5" hidden="false" customHeight="true" outlineLevel="0" collapsed="false">
      <c r="A62" s="97" t="s">
        <v>591</v>
      </c>
      <c r="B62" s="98" t="s">
        <v>3294</v>
      </c>
      <c r="C62" s="98" t="s">
        <v>3241</v>
      </c>
      <c r="D62" s="98" t="s">
        <v>3197</v>
      </c>
      <c r="E62" s="98" t="s">
        <v>3295</v>
      </c>
    </row>
    <row r="64" customFormat="false" ht="15" hidden="false" customHeight="true" outlineLevel="0" collapsed="false">
      <c r="A64" s="96" t="s">
        <v>3296</v>
      </c>
      <c r="B64" s="96"/>
      <c r="C64" s="96"/>
      <c r="D64" s="96"/>
      <c r="E64" s="96"/>
    </row>
    <row r="65" customFormat="false" ht="15" hidden="false" customHeight="true" outlineLevel="0" collapsed="false">
      <c r="A65" s="55" t="s">
        <v>205</v>
      </c>
      <c r="B65" s="55" t="s">
        <v>3180</v>
      </c>
      <c r="C65" s="55" t="s">
        <v>3181</v>
      </c>
      <c r="D65" s="55" t="s">
        <v>3182</v>
      </c>
      <c r="E65" s="55" t="s">
        <v>3183</v>
      </c>
    </row>
    <row r="66" customFormat="false" ht="31.5" hidden="false" customHeight="true" outlineLevel="0" collapsed="false">
      <c r="A66" s="97" t="s">
        <v>600</v>
      </c>
      <c r="B66" s="98" t="s">
        <v>3297</v>
      </c>
      <c r="C66" s="98" t="s">
        <v>3236</v>
      </c>
      <c r="D66" s="98" t="s">
        <v>3204</v>
      </c>
      <c r="E66" s="98" t="s">
        <v>3298</v>
      </c>
    </row>
    <row r="67" customFormat="false" ht="31.5" hidden="false" customHeight="true" outlineLevel="0" collapsed="false">
      <c r="A67" s="97" t="s">
        <v>610</v>
      </c>
      <c r="B67" s="98" t="s">
        <v>3299</v>
      </c>
      <c r="C67" s="98" t="s">
        <v>3300</v>
      </c>
      <c r="D67" s="98" t="s">
        <v>3228</v>
      </c>
      <c r="E67" s="98" t="s">
        <v>3301</v>
      </c>
    </row>
    <row r="68" customFormat="false" ht="31.5" hidden="false" customHeight="true" outlineLevel="0" collapsed="false">
      <c r="A68" s="97" t="s">
        <v>619</v>
      </c>
      <c r="B68" s="98" t="s">
        <v>3302</v>
      </c>
      <c r="C68" s="98" t="s">
        <v>3211</v>
      </c>
      <c r="D68" s="98" t="s">
        <v>3197</v>
      </c>
      <c r="E68" s="98" t="s">
        <v>3303</v>
      </c>
    </row>
    <row r="69" customFormat="false" ht="31.5" hidden="false" customHeight="true" outlineLevel="0" collapsed="false">
      <c r="A69" s="97" t="s">
        <v>629</v>
      </c>
      <c r="B69" s="98" t="s">
        <v>3304</v>
      </c>
      <c r="C69" s="98" t="s">
        <v>3253</v>
      </c>
      <c r="D69" s="98" t="s">
        <v>3197</v>
      </c>
      <c r="E69" s="98" t="s">
        <v>3284</v>
      </c>
    </row>
    <row r="70" customFormat="false" ht="31.5" hidden="false" customHeight="true" outlineLevel="0" collapsed="false">
      <c r="A70" s="97" t="s">
        <v>638</v>
      </c>
      <c r="B70" s="98" t="s">
        <v>3305</v>
      </c>
      <c r="C70" s="98" t="s">
        <v>3306</v>
      </c>
      <c r="D70" s="98" t="s">
        <v>3197</v>
      </c>
      <c r="E70" s="98" t="s">
        <v>3307</v>
      </c>
    </row>
    <row r="71" customFormat="false" ht="31.5" hidden="false" customHeight="true" outlineLevel="0" collapsed="false">
      <c r="A71" s="97" t="s">
        <v>647</v>
      </c>
      <c r="B71" s="98" t="s">
        <v>3308</v>
      </c>
      <c r="C71" s="98" t="s">
        <v>3253</v>
      </c>
      <c r="D71" s="98" t="s">
        <v>3197</v>
      </c>
      <c r="E71" s="98" t="s">
        <v>3309</v>
      </c>
    </row>
    <row r="72" customFormat="false" ht="31.5" hidden="false" customHeight="true" outlineLevel="0" collapsed="false">
      <c r="A72" s="97" t="s">
        <v>656</v>
      </c>
      <c r="B72" s="98" t="s">
        <v>3310</v>
      </c>
      <c r="C72" s="98" t="s">
        <v>3262</v>
      </c>
      <c r="D72" s="98" t="s">
        <v>3204</v>
      </c>
      <c r="E72" s="98" t="s">
        <v>3311</v>
      </c>
    </row>
    <row r="73" customFormat="false" ht="31.5" hidden="false" customHeight="true" outlineLevel="0" collapsed="false">
      <c r="A73" s="97" t="s">
        <v>664</v>
      </c>
      <c r="B73" s="98" t="s">
        <v>3312</v>
      </c>
      <c r="C73" s="98" t="s">
        <v>3253</v>
      </c>
      <c r="D73" s="98" t="s">
        <v>3313</v>
      </c>
      <c r="E73" s="98" t="s">
        <v>3234</v>
      </c>
    </row>
    <row r="74" customFormat="false" ht="31.5" hidden="false" customHeight="true" outlineLevel="0" collapsed="false">
      <c r="A74" s="97" t="s">
        <v>674</v>
      </c>
      <c r="B74" s="98" t="s">
        <v>3314</v>
      </c>
      <c r="C74" s="98" t="s">
        <v>3276</v>
      </c>
      <c r="D74" s="98" t="s">
        <v>3189</v>
      </c>
      <c r="E74" s="98" t="s">
        <v>3315</v>
      </c>
    </row>
    <row r="75" customFormat="false" ht="31.5" hidden="false" customHeight="true" outlineLevel="0" collapsed="false">
      <c r="A75" s="97" t="s">
        <v>683</v>
      </c>
      <c r="B75" s="98" t="s">
        <v>3316</v>
      </c>
      <c r="C75" s="98" t="s">
        <v>3211</v>
      </c>
      <c r="D75" s="98" t="s">
        <v>3317</v>
      </c>
      <c r="E75" s="98" t="s">
        <v>3318</v>
      </c>
    </row>
    <row r="76" customFormat="false" ht="31.5" hidden="false" customHeight="true" outlineLevel="0" collapsed="false">
      <c r="A76" s="97" t="s">
        <v>693</v>
      </c>
      <c r="B76" s="98" t="s">
        <v>3319</v>
      </c>
      <c r="C76" s="98" t="s">
        <v>3253</v>
      </c>
      <c r="D76" s="98" t="s">
        <v>3212</v>
      </c>
      <c r="E76" s="98" t="s">
        <v>3320</v>
      </c>
    </row>
    <row r="77" customFormat="false" ht="31.5" hidden="false" customHeight="true" outlineLevel="0" collapsed="false">
      <c r="A77" s="97" t="s">
        <v>701</v>
      </c>
      <c r="B77" s="98" t="s">
        <v>3321</v>
      </c>
      <c r="C77" s="98" t="s">
        <v>3211</v>
      </c>
      <c r="D77" s="98" t="s">
        <v>3197</v>
      </c>
      <c r="E77" s="98" t="s">
        <v>3322</v>
      </c>
    </row>
    <row r="78" customFormat="false" ht="31.5" hidden="false" customHeight="true" outlineLevel="0" collapsed="false">
      <c r="A78" s="97" t="s">
        <v>711</v>
      </c>
      <c r="B78" s="98" t="s">
        <v>3323</v>
      </c>
      <c r="C78" s="98" t="s">
        <v>3276</v>
      </c>
      <c r="D78" s="98" t="s">
        <v>3277</v>
      </c>
      <c r="E78" s="98" t="s">
        <v>3324</v>
      </c>
    </row>
    <row r="79" customFormat="false" ht="31.5" hidden="false" customHeight="true" outlineLevel="0" collapsed="false">
      <c r="A79" s="97" t="s">
        <v>721</v>
      </c>
      <c r="B79" s="98" t="s">
        <v>3325</v>
      </c>
      <c r="C79" s="98" t="s">
        <v>3211</v>
      </c>
      <c r="D79" s="98" t="s">
        <v>3212</v>
      </c>
      <c r="E79" s="98" t="s">
        <v>3326</v>
      </c>
    </row>
    <row r="81" customFormat="false" ht="15" hidden="false" customHeight="true" outlineLevel="0" collapsed="false">
      <c r="A81" s="96" t="s">
        <v>3327</v>
      </c>
      <c r="B81" s="96"/>
      <c r="C81" s="96"/>
      <c r="D81" s="96"/>
      <c r="E81" s="96"/>
    </row>
    <row r="82" customFormat="false" ht="15" hidden="false" customHeight="true" outlineLevel="0" collapsed="false">
      <c r="A82" s="55" t="s">
        <v>205</v>
      </c>
      <c r="B82" s="55" t="s">
        <v>3180</v>
      </c>
      <c r="C82" s="55" t="s">
        <v>3181</v>
      </c>
      <c r="D82" s="55" t="s">
        <v>3182</v>
      </c>
      <c r="E82" s="55" t="s">
        <v>3183</v>
      </c>
    </row>
    <row r="83" customFormat="false" ht="31.5" hidden="false" customHeight="true" outlineLevel="0" collapsed="false">
      <c r="A83" s="97" t="s">
        <v>730</v>
      </c>
      <c r="B83" s="98" t="s">
        <v>3328</v>
      </c>
      <c r="C83" s="98" t="s">
        <v>3306</v>
      </c>
      <c r="D83" s="98" t="s">
        <v>3197</v>
      </c>
      <c r="E83" s="98" t="s">
        <v>3329</v>
      </c>
    </row>
    <row r="84" customFormat="false" ht="31.5" hidden="false" customHeight="true" outlineLevel="0" collapsed="false">
      <c r="A84" s="97" t="s">
        <v>740</v>
      </c>
      <c r="B84" s="98" t="s">
        <v>3330</v>
      </c>
      <c r="C84" s="98" t="s">
        <v>3306</v>
      </c>
      <c r="D84" s="98" t="s">
        <v>3277</v>
      </c>
      <c r="E84" s="98" t="s">
        <v>3331</v>
      </c>
    </row>
    <row r="85" customFormat="false" ht="31.5" hidden="false" customHeight="true" outlineLevel="0" collapsed="false">
      <c r="A85" s="97" t="s">
        <v>749</v>
      </c>
      <c r="B85" s="98" t="s">
        <v>3332</v>
      </c>
      <c r="C85" s="98" t="s">
        <v>3211</v>
      </c>
      <c r="D85" s="98" t="s">
        <v>3197</v>
      </c>
      <c r="E85" s="98" t="s">
        <v>3311</v>
      </c>
    </row>
    <row r="86" customFormat="false" ht="31.5" hidden="false" customHeight="true" outlineLevel="0" collapsed="false">
      <c r="A86" s="97" t="s">
        <v>759</v>
      </c>
      <c r="B86" s="98" t="s">
        <v>3333</v>
      </c>
      <c r="C86" s="98" t="s">
        <v>3211</v>
      </c>
      <c r="D86" s="98" t="s">
        <v>3197</v>
      </c>
      <c r="E86" s="98" t="s">
        <v>3334</v>
      </c>
    </row>
    <row r="87" customFormat="false" ht="31.5" hidden="false" customHeight="true" outlineLevel="0" collapsed="false">
      <c r="A87" s="97" t="s">
        <v>768</v>
      </c>
      <c r="B87" s="98" t="s">
        <v>3335</v>
      </c>
      <c r="C87" s="98" t="s">
        <v>3253</v>
      </c>
      <c r="D87" s="98" t="s">
        <v>3197</v>
      </c>
      <c r="E87" s="98" t="s">
        <v>3336</v>
      </c>
    </row>
    <row r="88" customFormat="false" ht="31.5" hidden="false" customHeight="true" outlineLevel="0" collapsed="false">
      <c r="A88" s="97" t="s">
        <v>778</v>
      </c>
      <c r="B88" s="98" t="s">
        <v>3337</v>
      </c>
      <c r="C88" s="98" t="s">
        <v>3211</v>
      </c>
      <c r="D88" s="98" t="s">
        <v>3197</v>
      </c>
      <c r="E88" s="98" t="s">
        <v>3338</v>
      </c>
    </row>
    <row r="89" customFormat="false" ht="31.5" hidden="false" customHeight="true" outlineLevel="0" collapsed="false">
      <c r="A89" s="97" t="s">
        <v>787</v>
      </c>
      <c r="B89" s="98" t="s">
        <v>3339</v>
      </c>
      <c r="C89" s="98" t="s">
        <v>3306</v>
      </c>
      <c r="D89" s="98" t="s">
        <v>3197</v>
      </c>
      <c r="E89" s="98" t="s">
        <v>3340</v>
      </c>
    </row>
    <row r="90" customFormat="false" ht="31.5" hidden="false" customHeight="true" outlineLevel="0" collapsed="false">
      <c r="A90" s="97" t="s">
        <v>796</v>
      </c>
      <c r="B90" s="98" t="s">
        <v>3341</v>
      </c>
      <c r="C90" s="98" t="s">
        <v>3211</v>
      </c>
      <c r="D90" s="98" t="s">
        <v>3197</v>
      </c>
      <c r="E90" s="98" t="s">
        <v>3336</v>
      </c>
    </row>
    <row r="91" customFormat="false" ht="31.5" hidden="false" customHeight="true" outlineLevel="0" collapsed="false">
      <c r="A91" s="97" t="s">
        <v>805</v>
      </c>
      <c r="B91" s="98" t="s">
        <v>3342</v>
      </c>
      <c r="C91" s="98" t="s">
        <v>3343</v>
      </c>
      <c r="D91" s="98" t="s">
        <v>3197</v>
      </c>
      <c r="E91" s="98" t="s">
        <v>3344</v>
      </c>
    </row>
    <row r="92" customFormat="false" ht="31.5" hidden="false" customHeight="true" outlineLevel="0" collapsed="false">
      <c r="A92" s="97" t="s">
        <v>814</v>
      </c>
      <c r="B92" s="98" t="s">
        <v>3345</v>
      </c>
      <c r="C92" s="98" t="s">
        <v>3211</v>
      </c>
      <c r="D92" s="98" t="s">
        <v>3204</v>
      </c>
      <c r="E92" s="98" t="s">
        <v>3346</v>
      </c>
    </row>
    <row r="93" customFormat="false" ht="31.5" hidden="false" customHeight="true" outlineLevel="0" collapsed="false">
      <c r="A93" s="97" t="s">
        <v>824</v>
      </c>
      <c r="B93" s="98" t="s">
        <v>3347</v>
      </c>
      <c r="C93" s="98" t="s">
        <v>3211</v>
      </c>
      <c r="D93" s="98" t="s">
        <v>3197</v>
      </c>
      <c r="E93" s="98" t="s">
        <v>3348</v>
      </c>
    </row>
    <row r="94" customFormat="false" ht="31.5" hidden="false" customHeight="true" outlineLevel="0" collapsed="false">
      <c r="A94" s="97" t="s">
        <v>833</v>
      </c>
      <c r="B94" s="98" t="s">
        <v>3349</v>
      </c>
      <c r="C94" s="98" t="s">
        <v>3185</v>
      </c>
      <c r="D94" s="98" t="s">
        <v>3197</v>
      </c>
      <c r="E94" s="98" t="s">
        <v>3350</v>
      </c>
    </row>
    <row r="95" customFormat="false" ht="31.5" hidden="false" customHeight="true" outlineLevel="0" collapsed="false">
      <c r="A95" s="97" t="s">
        <v>842</v>
      </c>
      <c r="B95" s="98" t="s">
        <v>3351</v>
      </c>
      <c r="C95" s="98" t="s">
        <v>3288</v>
      </c>
      <c r="D95" s="98" t="s">
        <v>3204</v>
      </c>
      <c r="E95" s="98" t="s">
        <v>3352</v>
      </c>
    </row>
    <row r="96" customFormat="false" ht="31.5" hidden="false" customHeight="true" outlineLevel="0" collapsed="false">
      <c r="A96" s="97" t="s">
        <v>852</v>
      </c>
      <c r="B96" s="98" t="s">
        <v>3353</v>
      </c>
      <c r="C96" s="98" t="s">
        <v>3211</v>
      </c>
      <c r="D96" s="98" t="s">
        <v>3277</v>
      </c>
      <c r="E96" s="98" t="s">
        <v>3354</v>
      </c>
    </row>
    <row r="97" customFormat="false" ht="31.5" hidden="false" customHeight="true" outlineLevel="0" collapsed="false">
      <c r="A97" s="97" t="s">
        <v>861</v>
      </c>
      <c r="B97" s="98" t="s">
        <v>3355</v>
      </c>
      <c r="C97" s="98" t="s">
        <v>3211</v>
      </c>
      <c r="D97" s="98" t="s">
        <v>3277</v>
      </c>
      <c r="E97" s="98" t="s">
        <v>3356</v>
      </c>
    </row>
    <row r="98" customFormat="false" ht="31.5" hidden="false" customHeight="true" outlineLevel="0" collapsed="false">
      <c r="A98" s="97" t="s">
        <v>871</v>
      </c>
      <c r="B98" s="98" t="s">
        <v>3357</v>
      </c>
      <c r="C98" s="98" t="s">
        <v>3241</v>
      </c>
      <c r="D98" s="98" t="s">
        <v>3197</v>
      </c>
      <c r="E98" s="98" t="s">
        <v>3358</v>
      </c>
    </row>
    <row r="100" customFormat="false" ht="15" hidden="false" customHeight="true" outlineLevel="0" collapsed="false">
      <c r="A100" s="96" t="s">
        <v>3359</v>
      </c>
      <c r="B100" s="96"/>
      <c r="C100" s="96"/>
      <c r="D100" s="96"/>
      <c r="E100" s="96"/>
    </row>
    <row r="101" customFormat="false" ht="15" hidden="false" customHeight="true" outlineLevel="0" collapsed="false">
      <c r="A101" s="55" t="s">
        <v>205</v>
      </c>
      <c r="B101" s="55" t="s">
        <v>3180</v>
      </c>
      <c r="C101" s="55" t="s">
        <v>3181</v>
      </c>
      <c r="D101" s="55" t="s">
        <v>3182</v>
      </c>
      <c r="E101" s="55" t="s">
        <v>3183</v>
      </c>
    </row>
    <row r="102" customFormat="false" ht="31.5" hidden="false" customHeight="true" outlineLevel="0" collapsed="false">
      <c r="A102" s="97" t="s">
        <v>880</v>
      </c>
      <c r="B102" s="98" t="s">
        <v>3360</v>
      </c>
      <c r="C102" s="98" t="s">
        <v>3306</v>
      </c>
      <c r="D102" s="98" t="s">
        <v>3197</v>
      </c>
      <c r="E102" s="98" t="s">
        <v>3361</v>
      </c>
    </row>
    <row r="103" customFormat="false" ht="31.5" hidden="false" customHeight="true" outlineLevel="0" collapsed="false">
      <c r="A103" s="97" t="s">
        <v>890</v>
      </c>
      <c r="B103" s="98" t="s">
        <v>3362</v>
      </c>
      <c r="C103" s="98" t="s">
        <v>3236</v>
      </c>
      <c r="D103" s="98" t="s">
        <v>3212</v>
      </c>
      <c r="E103" s="98" t="s">
        <v>3363</v>
      </c>
    </row>
    <row r="104" customFormat="false" ht="31.5" hidden="false" customHeight="true" outlineLevel="0" collapsed="false">
      <c r="A104" s="97" t="s">
        <v>900</v>
      </c>
      <c r="B104" s="98" t="s">
        <v>3364</v>
      </c>
      <c r="C104" s="98" t="s">
        <v>3276</v>
      </c>
      <c r="D104" s="98" t="s">
        <v>3189</v>
      </c>
      <c r="E104" s="98" t="s">
        <v>3365</v>
      </c>
    </row>
    <row r="105" customFormat="false" ht="31.5" hidden="false" customHeight="true" outlineLevel="0" collapsed="false">
      <c r="A105" s="97" t="s">
        <v>909</v>
      </c>
      <c r="B105" s="98" t="s">
        <v>3366</v>
      </c>
      <c r="C105" s="98" t="s">
        <v>3185</v>
      </c>
      <c r="D105" s="98" t="s">
        <v>3189</v>
      </c>
      <c r="E105" s="98" t="s">
        <v>3298</v>
      </c>
    </row>
    <row r="106" customFormat="false" ht="31.5" hidden="false" customHeight="true" outlineLevel="0" collapsed="false">
      <c r="A106" s="97" t="s">
        <v>918</v>
      </c>
      <c r="B106" s="98" t="s">
        <v>3367</v>
      </c>
      <c r="C106" s="98" t="s">
        <v>3211</v>
      </c>
      <c r="D106" s="98" t="s">
        <v>3277</v>
      </c>
      <c r="E106" s="98" t="s">
        <v>3368</v>
      </c>
    </row>
    <row r="107" customFormat="false" ht="31.5" hidden="false" customHeight="true" outlineLevel="0" collapsed="false">
      <c r="A107" s="97" t="s">
        <v>927</v>
      </c>
      <c r="B107" s="98" t="s">
        <v>3369</v>
      </c>
      <c r="C107" s="98" t="s">
        <v>3253</v>
      </c>
      <c r="D107" s="98" t="s">
        <v>3277</v>
      </c>
      <c r="E107" s="98" t="s">
        <v>3370</v>
      </c>
    </row>
    <row r="108" customFormat="false" ht="31.5" hidden="false" customHeight="true" outlineLevel="0" collapsed="false">
      <c r="A108" s="97" t="s">
        <v>936</v>
      </c>
      <c r="B108" s="98" t="s">
        <v>3371</v>
      </c>
      <c r="C108" s="98" t="s">
        <v>3306</v>
      </c>
      <c r="D108" s="98" t="s">
        <v>3197</v>
      </c>
      <c r="E108" s="98" t="s">
        <v>3331</v>
      </c>
    </row>
    <row r="109" customFormat="false" ht="31.5" hidden="false" customHeight="true" outlineLevel="0" collapsed="false">
      <c r="A109" s="97" t="s">
        <v>946</v>
      </c>
      <c r="B109" s="98" t="s">
        <v>3372</v>
      </c>
      <c r="C109" s="98" t="s">
        <v>3276</v>
      </c>
      <c r="D109" s="98" t="s">
        <v>3277</v>
      </c>
      <c r="E109" s="98" t="s">
        <v>3373</v>
      </c>
    </row>
    <row r="110" customFormat="false" ht="31.5" hidden="false" customHeight="true" outlineLevel="0" collapsed="false">
      <c r="A110" s="97" t="s">
        <v>955</v>
      </c>
      <c r="B110" s="98" t="s">
        <v>3374</v>
      </c>
      <c r="C110" s="98" t="s">
        <v>3375</v>
      </c>
      <c r="D110" s="98" t="s">
        <v>3204</v>
      </c>
      <c r="E110" s="98" t="s">
        <v>3336</v>
      </c>
    </row>
    <row r="111" customFormat="false" ht="31.5" hidden="false" customHeight="true" outlineLevel="0" collapsed="false">
      <c r="A111" s="97" t="s">
        <v>964</v>
      </c>
      <c r="B111" s="98" t="s">
        <v>3376</v>
      </c>
      <c r="C111" s="98" t="s">
        <v>3250</v>
      </c>
      <c r="D111" s="98" t="s">
        <v>3277</v>
      </c>
      <c r="E111" s="98" t="s">
        <v>3377</v>
      </c>
    </row>
    <row r="112" customFormat="false" ht="31.5" hidden="false" customHeight="true" outlineLevel="0" collapsed="false">
      <c r="A112" s="97" t="s">
        <v>974</v>
      </c>
      <c r="B112" s="98" t="s">
        <v>3378</v>
      </c>
      <c r="C112" s="98" t="s">
        <v>3276</v>
      </c>
      <c r="D112" s="98" t="s">
        <v>3313</v>
      </c>
      <c r="E112" s="98" t="s">
        <v>3379</v>
      </c>
    </row>
  </sheetData>
  <mergeCells count="7">
    <mergeCell ref="A2:G2"/>
    <mergeCell ref="A3:G3"/>
    <mergeCell ref="A17:E17"/>
    <mergeCell ref="A39:E39"/>
    <mergeCell ref="A64:E64"/>
    <mergeCell ref="A81:E81"/>
    <mergeCell ref="A100:E100"/>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5"/>
    <col collapsed="false" customWidth="true" hidden="false" outlineLevel="0" max="4" min="4" style="1" width="30"/>
  </cols>
  <sheetData>
    <row r="1" customFormat="false" ht="18" hidden="false" customHeight="true" outlineLevel="0" collapsed="false">
      <c r="A1" s="78" t="s">
        <v>56</v>
      </c>
      <c r="B1" s="2"/>
      <c r="C1" s="2"/>
      <c r="D1" s="2"/>
    </row>
    <row r="2" customFormat="false" ht="34.5" hidden="false" customHeight="true" outlineLevel="0" collapsed="false">
      <c r="A2" s="99" t="s">
        <v>3380</v>
      </c>
      <c r="B2" s="99"/>
      <c r="C2" s="99"/>
      <c r="D2" s="99"/>
    </row>
    <row r="3" customFormat="false" ht="18" hidden="false" customHeight="true" outlineLevel="0" collapsed="false">
      <c r="A3" s="100" t="s">
        <v>3381</v>
      </c>
      <c r="B3" s="100"/>
      <c r="C3" s="100"/>
      <c r="D3" s="100"/>
    </row>
    <row r="4" customFormat="false" ht="24.75" hidden="false" customHeight="true" outlineLevel="0" collapsed="false">
      <c r="A4" s="101" t="s">
        <v>3382</v>
      </c>
      <c r="B4" s="101"/>
      <c r="C4" s="101"/>
      <c r="D4" s="101"/>
    </row>
    <row r="5" customFormat="false" ht="39.75" hidden="false" customHeight="true" outlineLevel="0" collapsed="false">
      <c r="A5" s="102" t="n">
        <v>1</v>
      </c>
      <c r="B5" s="103" t="s">
        <v>3383</v>
      </c>
      <c r="C5" s="104" t="s">
        <v>3384</v>
      </c>
      <c r="D5" s="103"/>
    </row>
    <row r="6" customFormat="false" ht="39.75" hidden="false" customHeight="true" outlineLevel="0" collapsed="false">
      <c r="A6" s="105" t="n">
        <v>2</v>
      </c>
      <c r="B6" s="106" t="s">
        <v>3385</v>
      </c>
      <c r="C6" s="104" t="s">
        <v>3384</v>
      </c>
      <c r="D6" s="103"/>
    </row>
    <row r="7" customFormat="false" ht="39.75" hidden="false" customHeight="true" outlineLevel="0" collapsed="false">
      <c r="A7" s="102" t="n">
        <v>3</v>
      </c>
      <c r="B7" s="103" t="s">
        <v>3386</v>
      </c>
      <c r="C7" s="104" t="s">
        <v>3384</v>
      </c>
      <c r="D7" s="103"/>
    </row>
    <row r="8" customFormat="false" ht="39.75" hidden="false" customHeight="true" outlineLevel="0" collapsed="false">
      <c r="A8" s="105" t="n">
        <v>4</v>
      </c>
      <c r="B8" s="106" t="s">
        <v>3387</v>
      </c>
      <c r="C8" s="104" t="s">
        <v>3384</v>
      </c>
      <c r="D8" s="103"/>
    </row>
    <row r="9" customFormat="false" ht="39.75" hidden="false" customHeight="true" outlineLevel="0" collapsed="false">
      <c r="A9" s="102" t="n">
        <v>5</v>
      </c>
      <c r="B9" s="103" t="s">
        <v>3388</v>
      </c>
      <c r="C9" s="104" t="s">
        <v>3384</v>
      </c>
      <c r="D9" s="103"/>
    </row>
    <row r="10" customFormat="false" ht="39.75" hidden="false" customHeight="true" outlineLevel="0" collapsed="false">
      <c r="A10" s="105" t="n">
        <v>6</v>
      </c>
      <c r="B10" s="106" t="s">
        <v>3389</v>
      </c>
      <c r="C10" s="104" t="s">
        <v>3384</v>
      </c>
      <c r="D10" s="103"/>
    </row>
    <row r="11" customFormat="false" ht="39.75" hidden="false" customHeight="true" outlineLevel="0" collapsed="false">
      <c r="A11" s="102" t="n">
        <v>7</v>
      </c>
      <c r="B11" s="103" t="s">
        <v>3390</v>
      </c>
      <c r="C11" s="104" t="s">
        <v>3384</v>
      </c>
      <c r="D11" s="103"/>
    </row>
    <row r="12" customFormat="false" ht="24.75" hidden="false" customHeight="true" outlineLevel="0" collapsed="false">
      <c r="A12" s="107" t="s">
        <v>3391</v>
      </c>
      <c r="B12" s="107"/>
      <c r="C12" s="107"/>
      <c r="D12" s="107"/>
    </row>
    <row r="13" customFormat="false" ht="39.75" hidden="false" customHeight="true" outlineLevel="0" collapsed="false">
      <c r="A13" s="102" t="n">
        <v>1</v>
      </c>
      <c r="B13" s="103" t="s">
        <v>3392</v>
      </c>
      <c r="C13" s="104" t="s">
        <v>3384</v>
      </c>
      <c r="D13" s="103"/>
    </row>
    <row r="14" customFormat="false" ht="39.75" hidden="false" customHeight="true" outlineLevel="0" collapsed="false">
      <c r="A14" s="105" t="n">
        <v>2</v>
      </c>
      <c r="B14" s="106" t="s">
        <v>3393</v>
      </c>
      <c r="C14" s="104" t="s">
        <v>3384</v>
      </c>
      <c r="D14" s="103"/>
    </row>
    <row r="15" customFormat="false" ht="39.75" hidden="false" customHeight="true" outlineLevel="0" collapsed="false">
      <c r="A15" s="102" t="n">
        <v>3</v>
      </c>
      <c r="B15" s="103" t="s">
        <v>3394</v>
      </c>
      <c r="C15" s="104" t="s">
        <v>3384</v>
      </c>
      <c r="D15" s="103"/>
    </row>
    <row r="16" customFormat="false" ht="39.75" hidden="false" customHeight="true" outlineLevel="0" collapsed="false">
      <c r="A16" s="105" t="n">
        <v>4</v>
      </c>
      <c r="B16" s="106" t="s">
        <v>3395</v>
      </c>
      <c r="C16" s="104" t="s">
        <v>3384</v>
      </c>
      <c r="D16" s="103"/>
    </row>
    <row r="17" customFormat="false" ht="39.75" hidden="false" customHeight="true" outlineLevel="0" collapsed="false">
      <c r="A17" s="102" t="n">
        <v>5</v>
      </c>
      <c r="B17" s="103" t="s">
        <v>3396</v>
      </c>
      <c r="C17" s="104" t="s">
        <v>3384</v>
      </c>
      <c r="D17" s="103"/>
    </row>
    <row r="18" customFormat="false" ht="39.75" hidden="false" customHeight="true" outlineLevel="0" collapsed="false">
      <c r="A18" s="105" t="n">
        <v>6</v>
      </c>
      <c r="B18" s="106" t="s">
        <v>3397</v>
      </c>
      <c r="C18" s="104" t="s">
        <v>3384</v>
      </c>
      <c r="D18" s="103"/>
    </row>
    <row r="19" customFormat="false" ht="39.75" hidden="false" customHeight="true" outlineLevel="0" collapsed="false">
      <c r="A19" s="102" t="n">
        <v>7</v>
      </c>
      <c r="B19" s="103" t="s">
        <v>3398</v>
      </c>
      <c r="C19" s="104" t="s">
        <v>3384</v>
      </c>
      <c r="D19" s="103"/>
    </row>
    <row r="20" customFormat="false" ht="39.75" hidden="false" customHeight="true" outlineLevel="0" collapsed="false">
      <c r="A20" s="105" t="n">
        <v>8</v>
      </c>
      <c r="B20" s="106" t="s">
        <v>3399</v>
      </c>
      <c r="C20" s="104" t="s">
        <v>3384</v>
      </c>
      <c r="D20" s="103"/>
    </row>
    <row r="21" customFormat="false" ht="24.75" hidden="false" customHeight="true" outlineLevel="0" collapsed="false">
      <c r="A21" s="108" t="s">
        <v>3400</v>
      </c>
      <c r="B21" s="108"/>
      <c r="C21" s="108"/>
      <c r="D21" s="108"/>
    </row>
    <row r="22" customFormat="false" ht="39.75" hidden="false" customHeight="true" outlineLevel="0" collapsed="false">
      <c r="A22" s="102" t="n">
        <v>1</v>
      </c>
      <c r="B22" s="103" t="s">
        <v>3401</v>
      </c>
      <c r="C22" s="104" t="s">
        <v>3384</v>
      </c>
      <c r="D22" s="103"/>
    </row>
    <row r="23" customFormat="false" ht="39.75" hidden="false" customHeight="true" outlineLevel="0" collapsed="false">
      <c r="A23" s="105" t="n">
        <v>2</v>
      </c>
      <c r="B23" s="106" t="s">
        <v>3402</v>
      </c>
      <c r="C23" s="104" t="s">
        <v>3384</v>
      </c>
      <c r="D23" s="103"/>
    </row>
    <row r="24" customFormat="false" ht="39.75" hidden="false" customHeight="true" outlineLevel="0" collapsed="false">
      <c r="A24" s="102" t="n">
        <v>3</v>
      </c>
      <c r="B24" s="103" t="s">
        <v>3403</v>
      </c>
      <c r="C24" s="104" t="s">
        <v>3384</v>
      </c>
      <c r="D24" s="103"/>
    </row>
    <row r="25" customFormat="false" ht="39.75" hidden="false" customHeight="true" outlineLevel="0" collapsed="false">
      <c r="A25" s="105" t="n">
        <v>4</v>
      </c>
      <c r="B25" s="106" t="s">
        <v>3404</v>
      </c>
      <c r="C25" s="104" t="s">
        <v>3384</v>
      </c>
      <c r="D25" s="103"/>
    </row>
    <row r="26" customFormat="false" ht="39.75" hidden="false" customHeight="true" outlineLevel="0" collapsed="false">
      <c r="A26" s="102" t="n">
        <v>5</v>
      </c>
      <c r="B26" s="103" t="s">
        <v>3405</v>
      </c>
      <c r="C26" s="104" t="s">
        <v>3384</v>
      </c>
      <c r="D26" s="103"/>
    </row>
    <row r="27" customFormat="false" ht="24.75" hidden="false" customHeight="true" outlineLevel="0" collapsed="false">
      <c r="A27" s="109" t="s">
        <v>3406</v>
      </c>
      <c r="B27" s="109"/>
      <c r="C27" s="109"/>
      <c r="D27" s="109"/>
    </row>
    <row r="28" customFormat="false" ht="39.75" hidden="false" customHeight="true" outlineLevel="0" collapsed="false">
      <c r="A28" s="102" t="n">
        <v>1</v>
      </c>
      <c r="B28" s="103" t="s">
        <v>3407</v>
      </c>
      <c r="C28" s="104" t="s">
        <v>3384</v>
      </c>
      <c r="D28" s="103"/>
    </row>
    <row r="29" customFormat="false" ht="39.75" hidden="false" customHeight="true" outlineLevel="0" collapsed="false">
      <c r="A29" s="105" t="n">
        <v>2</v>
      </c>
      <c r="B29" s="106" t="s">
        <v>3408</v>
      </c>
      <c r="C29" s="104" t="s">
        <v>3384</v>
      </c>
      <c r="D29" s="103"/>
    </row>
    <row r="30" customFormat="false" ht="39.75" hidden="false" customHeight="true" outlineLevel="0" collapsed="false">
      <c r="A30" s="102" t="n">
        <v>3</v>
      </c>
      <c r="B30" s="103" t="s">
        <v>3409</v>
      </c>
      <c r="C30" s="104" t="s">
        <v>3384</v>
      </c>
      <c r="D30" s="103"/>
    </row>
    <row r="31" customFormat="false" ht="39.75" hidden="false" customHeight="true" outlineLevel="0" collapsed="false">
      <c r="A31" s="105" t="n">
        <v>4</v>
      </c>
      <c r="B31" s="106" t="s">
        <v>3410</v>
      </c>
      <c r="C31" s="104" t="s">
        <v>3384</v>
      </c>
      <c r="D31" s="103"/>
    </row>
    <row r="32" customFormat="false" ht="39.75" hidden="false" customHeight="true" outlineLevel="0" collapsed="false">
      <c r="A32" s="102" t="n">
        <v>5</v>
      </c>
      <c r="B32" s="103" t="s">
        <v>3411</v>
      </c>
      <c r="C32" s="104" t="s">
        <v>3384</v>
      </c>
      <c r="D32" s="103"/>
    </row>
    <row r="33" customFormat="false" ht="60" hidden="false" customHeight="true" outlineLevel="0" collapsed="false">
      <c r="B33" s="110" t="s">
        <v>3412</v>
      </c>
    </row>
  </sheetData>
  <mergeCells count="6">
    <mergeCell ref="A2:D2"/>
    <mergeCell ref="A3:D3"/>
    <mergeCell ref="A4:D4"/>
    <mergeCell ref="A12:D12"/>
    <mergeCell ref="A21:D21"/>
    <mergeCell ref="A27:D27"/>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2"/>
    <col collapsed="false" customWidth="true" hidden="false" outlineLevel="0" max="3" min="3" style="1" width="26"/>
    <col collapsed="false" customWidth="true" hidden="false" outlineLevel="0" max="4" min="4" style="1" width="36"/>
  </cols>
  <sheetData>
    <row r="1" customFormat="false" ht="15" hidden="false" customHeight="true" outlineLevel="0" collapsed="false">
      <c r="A1" s="78" t="s">
        <v>56</v>
      </c>
    </row>
    <row r="2" customFormat="false" ht="15.75" hidden="false" customHeight="true" outlineLevel="0" collapsed="false">
      <c r="A2" s="111" t="s">
        <v>3413</v>
      </c>
      <c r="B2" s="111"/>
      <c r="C2" s="111"/>
      <c r="D2" s="111"/>
    </row>
    <row r="3" customFormat="false" ht="27.75" hidden="false" customHeight="true" outlineLevel="0" collapsed="false">
      <c r="A3" s="112" t="s">
        <v>3414</v>
      </c>
      <c r="B3" s="112"/>
      <c r="C3" s="112"/>
      <c r="D3" s="112"/>
    </row>
    <row r="5" customFormat="false" ht="21.75" hidden="false" customHeight="true" outlineLevel="0" collapsed="false">
      <c r="A5" s="55" t="s">
        <v>3415</v>
      </c>
      <c r="B5" s="55" t="s">
        <v>3416</v>
      </c>
      <c r="C5" s="55" t="s">
        <v>3417</v>
      </c>
      <c r="D5" s="55" t="s">
        <v>3418</v>
      </c>
    </row>
    <row r="6" customFormat="false" ht="42" hidden="false" customHeight="true" outlineLevel="0" collapsed="false">
      <c r="A6" s="97" t="s">
        <v>3419</v>
      </c>
      <c r="B6" s="98" t="s">
        <v>3420</v>
      </c>
      <c r="C6" s="98" t="s">
        <v>3421</v>
      </c>
      <c r="D6" s="98" t="s">
        <v>3422</v>
      </c>
    </row>
    <row r="7" customFormat="false" ht="42" hidden="false" customHeight="true" outlineLevel="0" collapsed="false">
      <c r="A7" s="97" t="s">
        <v>3423</v>
      </c>
      <c r="B7" s="98" t="s">
        <v>3424</v>
      </c>
      <c r="C7" s="98" t="s">
        <v>3425</v>
      </c>
      <c r="D7" s="98" t="s">
        <v>3426</v>
      </c>
    </row>
    <row r="8" customFormat="false" ht="42" hidden="false" customHeight="true" outlineLevel="0" collapsed="false">
      <c r="A8" s="97" t="s">
        <v>3427</v>
      </c>
      <c r="B8" s="98" t="s">
        <v>3428</v>
      </c>
      <c r="C8" s="98" t="s">
        <v>3429</v>
      </c>
      <c r="D8" s="98" t="s">
        <v>3430</v>
      </c>
    </row>
    <row r="9" customFormat="false" ht="42" hidden="false" customHeight="true" outlineLevel="0" collapsed="false">
      <c r="A9" s="97" t="s">
        <v>3431</v>
      </c>
      <c r="B9" s="98" t="s">
        <v>3432</v>
      </c>
      <c r="C9" s="98" t="s">
        <v>3433</v>
      </c>
      <c r="D9" s="98" t="s">
        <v>3434</v>
      </c>
    </row>
    <row r="10" customFormat="false" ht="42" hidden="false" customHeight="true" outlineLevel="0" collapsed="false">
      <c r="A10" s="97" t="s">
        <v>3435</v>
      </c>
      <c r="B10" s="98" t="s">
        <v>3436</v>
      </c>
      <c r="C10" s="98" t="s">
        <v>3437</v>
      </c>
      <c r="D10" s="98" t="s">
        <v>3438</v>
      </c>
    </row>
    <row r="11" customFormat="false" ht="42" hidden="false" customHeight="true" outlineLevel="0" collapsed="false">
      <c r="A11" s="97" t="s">
        <v>3439</v>
      </c>
      <c r="B11" s="98" t="s">
        <v>3440</v>
      </c>
      <c r="C11" s="98" t="s">
        <v>3441</v>
      </c>
      <c r="D11" s="98" t="s">
        <v>3442</v>
      </c>
    </row>
  </sheetData>
  <mergeCells count="2">
    <mergeCell ref="A2:D2"/>
    <mergeCell ref="A3:D3"/>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5"/>
    <col collapsed="false" customWidth="true" hidden="false" outlineLevel="0" max="3" min="3" style="1" width="20"/>
    <col collapsed="false" customWidth="true" hidden="false" outlineLevel="0" max="5" min="5" style="1" width="25"/>
  </cols>
  <sheetData>
    <row r="1" customFormat="false" ht="18" hidden="false" customHeight="true" outlineLevel="0" collapsed="false">
      <c r="A1" s="78" t="s">
        <v>56</v>
      </c>
      <c r="B1" s="2"/>
      <c r="C1" s="2"/>
      <c r="D1" s="2"/>
      <c r="E1" s="2"/>
    </row>
    <row r="2" customFormat="false" ht="34.5" hidden="false" customHeight="true" outlineLevel="0" collapsed="false">
      <c r="A2" s="99" t="s">
        <v>3443</v>
      </c>
      <c r="B2" s="99"/>
      <c r="C2" s="99"/>
      <c r="D2" s="99"/>
      <c r="E2" s="99"/>
    </row>
    <row r="3" customFormat="false" ht="24.75" hidden="false" customHeight="true" outlineLevel="0" collapsed="false">
      <c r="A3" s="107" t="s">
        <v>3444</v>
      </c>
      <c r="B3" s="107"/>
      <c r="C3" s="107"/>
      <c r="D3" s="107"/>
      <c r="E3" s="107"/>
    </row>
    <row r="4" customFormat="false" ht="45" hidden="false" customHeight="true" outlineLevel="0" collapsed="false">
      <c r="A4" s="113" t="s">
        <v>3445</v>
      </c>
      <c r="B4" s="114" t="s">
        <v>3446</v>
      </c>
      <c r="C4" s="114" t="s">
        <v>3447</v>
      </c>
      <c r="D4" s="114" t="s">
        <v>3448</v>
      </c>
      <c r="E4" s="114" t="s">
        <v>3449</v>
      </c>
    </row>
    <row r="5" customFormat="false" ht="45" hidden="false" customHeight="true" outlineLevel="0" collapsed="false">
      <c r="A5" s="115" t="s">
        <v>3450</v>
      </c>
      <c r="B5" s="116" t="s">
        <v>3451</v>
      </c>
      <c r="C5" s="116" t="s">
        <v>3447</v>
      </c>
      <c r="D5" s="116" t="s">
        <v>3452</v>
      </c>
      <c r="E5" s="116" t="s">
        <v>3158</v>
      </c>
    </row>
    <row r="6" customFormat="false" ht="45" hidden="false" customHeight="true" outlineLevel="0" collapsed="false">
      <c r="A6" s="113" t="s">
        <v>3453</v>
      </c>
      <c r="B6" s="114" t="s">
        <v>3454</v>
      </c>
      <c r="C6" s="114" t="s">
        <v>3455</v>
      </c>
      <c r="D6" s="114" t="s">
        <v>3456</v>
      </c>
      <c r="E6" s="114" t="s">
        <v>3146</v>
      </c>
    </row>
    <row r="7" customFormat="false" ht="45" hidden="false" customHeight="true" outlineLevel="0" collapsed="false">
      <c r="A7" s="115" t="s">
        <v>3457</v>
      </c>
      <c r="B7" s="116" t="s">
        <v>3458</v>
      </c>
      <c r="C7" s="116" t="s">
        <v>3447</v>
      </c>
      <c r="D7" s="116" t="s">
        <v>3459</v>
      </c>
      <c r="E7" s="116" t="s">
        <v>3460</v>
      </c>
    </row>
    <row r="8" customFormat="false" ht="45" hidden="false" customHeight="true" outlineLevel="0" collapsed="false">
      <c r="A8" s="113" t="s">
        <v>3461</v>
      </c>
      <c r="B8" s="114" t="s">
        <v>3462</v>
      </c>
      <c r="C8" s="114" t="s">
        <v>3455</v>
      </c>
      <c r="D8" s="114" t="s">
        <v>3463</v>
      </c>
      <c r="E8" s="114" t="s">
        <v>3464</v>
      </c>
    </row>
    <row r="9" customFormat="false" ht="24.75" hidden="false" customHeight="true" outlineLevel="0" collapsed="false">
      <c r="A9" s="117" t="s">
        <v>3465</v>
      </c>
      <c r="B9" s="117"/>
      <c r="C9" s="117"/>
      <c r="D9" s="117"/>
      <c r="E9" s="117"/>
    </row>
    <row r="10" customFormat="false" ht="45" hidden="false" customHeight="true" outlineLevel="0" collapsed="false">
      <c r="A10" s="113" t="s">
        <v>3466</v>
      </c>
      <c r="B10" s="114" t="s">
        <v>3467</v>
      </c>
      <c r="C10" s="114" t="s">
        <v>3447</v>
      </c>
      <c r="D10" s="114" t="s">
        <v>3468</v>
      </c>
      <c r="E10" s="114" t="s">
        <v>3449</v>
      </c>
    </row>
    <row r="11" customFormat="false" ht="45" hidden="false" customHeight="true" outlineLevel="0" collapsed="false">
      <c r="A11" s="115" t="s">
        <v>3469</v>
      </c>
      <c r="B11" s="116" t="s">
        <v>3470</v>
      </c>
      <c r="C11" s="116" t="s">
        <v>3447</v>
      </c>
      <c r="D11" s="116" t="s">
        <v>3471</v>
      </c>
      <c r="E11" s="116" t="s">
        <v>3449</v>
      </c>
    </row>
    <row r="12" customFormat="false" ht="45" hidden="false" customHeight="true" outlineLevel="0" collapsed="false">
      <c r="A12" s="113" t="s">
        <v>3472</v>
      </c>
      <c r="B12" s="114" t="s">
        <v>3473</v>
      </c>
      <c r="C12" s="114" t="s">
        <v>3455</v>
      </c>
      <c r="D12" s="114" t="s">
        <v>3474</v>
      </c>
      <c r="E12" s="114" t="s">
        <v>3158</v>
      </c>
    </row>
    <row r="13" customFormat="false" ht="45" hidden="false" customHeight="true" outlineLevel="0" collapsed="false">
      <c r="A13" s="115" t="s">
        <v>3475</v>
      </c>
      <c r="B13" s="116" t="s">
        <v>3476</v>
      </c>
      <c r="C13" s="116" t="s">
        <v>3447</v>
      </c>
      <c r="D13" s="116" t="s">
        <v>3477</v>
      </c>
      <c r="E13" s="116" t="s">
        <v>3175</v>
      </c>
    </row>
    <row r="14" customFormat="false" ht="45" hidden="false" customHeight="true" outlineLevel="0" collapsed="false">
      <c r="A14" s="113" t="s">
        <v>3478</v>
      </c>
      <c r="B14" s="114" t="s">
        <v>3479</v>
      </c>
      <c r="C14" s="114" t="s">
        <v>3447</v>
      </c>
      <c r="D14" s="114" t="s">
        <v>3480</v>
      </c>
      <c r="E14" s="114" t="s">
        <v>3481</v>
      </c>
    </row>
    <row r="15" customFormat="false" ht="24.75" hidden="false" customHeight="true" outlineLevel="0" collapsed="false">
      <c r="A15" s="101" t="s">
        <v>3482</v>
      </c>
      <c r="B15" s="101"/>
      <c r="C15" s="101"/>
      <c r="D15" s="101"/>
      <c r="E15" s="101"/>
    </row>
    <row r="16" customFormat="false" ht="45" hidden="false" customHeight="true" outlineLevel="0" collapsed="false">
      <c r="A16" s="113" t="s">
        <v>3483</v>
      </c>
      <c r="B16" s="114" t="s">
        <v>3484</v>
      </c>
      <c r="C16" s="114" t="s">
        <v>3455</v>
      </c>
      <c r="D16" s="114" t="s">
        <v>3485</v>
      </c>
      <c r="E16" s="114" t="s">
        <v>3464</v>
      </c>
    </row>
    <row r="17" customFormat="false" ht="45" hidden="false" customHeight="true" outlineLevel="0" collapsed="false">
      <c r="A17" s="115" t="s">
        <v>3486</v>
      </c>
      <c r="B17" s="116" t="s">
        <v>3487</v>
      </c>
      <c r="C17" s="116" t="s">
        <v>3488</v>
      </c>
      <c r="D17" s="116" t="s">
        <v>3489</v>
      </c>
      <c r="E17" s="116" t="s">
        <v>3464</v>
      </c>
    </row>
    <row r="18" customFormat="false" ht="45" hidden="false" customHeight="true" outlineLevel="0" collapsed="false">
      <c r="A18" s="113" t="s">
        <v>3490</v>
      </c>
      <c r="B18" s="114" t="s">
        <v>3491</v>
      </c>
      <c r="C18" s="114" t="s">
        <v>3455</v>
      </c>
      <c r="D18" s="114" t="s">
        <v>3492</v>
      </c>
      <c r="E18" s="114" t="s">
        <v>3493</v>
      </c>
    </row>
    <row r="19" customFormat="false" ht="45" hidden="false" customHeight="true" outlineLevel="0" collapsed="false">
      <c r="A19" s="115" t="s">
        <v>3494</v>
      </c>
      <c r="B19" s="116" t="s">
        <v>3495</v>
      </c>
      <c r="C19" s="116" t="s">
        <v>3455</v>
      </c>
      <c r="D19" s="116" t="s">
        <v>3496</v>
      </c>
      <c r="E19" s="116" t="s">
        <v>3497</v>
      </c>
    </row>
    <row r="20" customFormat="false" ht="45" hidden="false" customHeight="true" outlineLevel="0" collapsed="false">
      <c r="A20" s="113" t="s">
        <v>3498</v>
      </c>
      <c r="B20" s="114" t="s">
        <v>3499</v>
      </c>
      <c r="C20" s="114" t="s">
        <v>3447</v>
      </c>
      <c r="D20" s="114" t="s">
        <v>3500</v>
      </c>
      <c r="E20" s="114" t="s">
        <v>3158</v>
      </c>
    </row>
    <row r="21" customFormat="false" ht="24.75" hidden="false" customHeight="true" outlineLevel="0" collapsed="false">
      <c r="A21" s="108" t="s">
        <v>3501</v>
      </c>
      <c r="B21" s="108"/>
      <c r="C21" s="108"/>
      <c r="D21" s="108"/>
      <c r="E21" s="108"/>
    </row>
    <row r="22" customFormat="false" ht="45" hidden="false" customHeight="true" outlineLevel="0" collapsed="false">
      <c r="A22" s="113" t="s">
        <v>3502</v>
      </c>
      <c r="B22" s="114" t="s">
        <v>3503</v>
      </c>
      <c r="C22" s="114" t="s">
        <v>3447</v>
      </c>
      <c r="D22" s="114" t="s">
        <v>3504</v>
      </c>
      <c r="E22" s="114" t="s">
        <v>3505</v>
      </c>
    </row>
    <row r="23" customFormat="false" ht="45" hidden="false" customHeight="true" outlineLevel="0" collapsed="false">
      <c r="A23" s="115" t="s">
        <v>3506</v>
      </c>
      <c r="B23" s="116" t="s">
        <v>3507</v>
      </c>
      <c r="C23" s="116" t="s">
        <v>3447</v>
      </c>
      <c r="D23" s="116" t="s">
        <v>3508</v>
      </c>
      <c r="E23" s="116" t="s">
        <v>3505</v>
      </c>
    </row>
    <row r="24" customFormat="false" ht="45" hidden="false" customHeight="true" outlineLevel="0" collapsed="false">
      <c r="A24" s="113" t="s">
        <v>3509</v>
      </c>
      <c r="B24" s="114" t="s">
        <v>3510</v>
      </c>
      <c r="C24" s="114" t="s">
        <v>3447</v>
      </c>
      <c r="D24" s="114" t="s">
        <v>3511</v>
      </c>
      <c r="E24" s="114" t="s">
        <v>3505</v>
      </c>
    </row>
    <row r="25" customFormat="false" ht="45" hidden="false" customHeight="true" outlineLevel="0" collapsed="false">
      <c r="A25" s="115" t="s">
        <v>3512</v>
      </c>
      <c r="B25" s="116" t="s">
        <v>3513</v>
      </c>
      <c r="C25" s="116" t="s">
        <v>3447</v>
      </c>
      <c r="D25" s="116" t="s">
        <v>3514</v>
      </c>
      <c r="E25" s="116" t="s">
        <v>3134</v>
      </c>
    </row>
    <row r="26" customFormat="false" ht="45" hidden="false" customHeight="true" outlineLevel="0" collapsed="false">
      <c r="A26" s="113" t="s">
        <v>3515</v>
      </c>
      <c r="B26" s="114" t="s">
        <v>3516</v>
      </c>
      <c r="C26" s="114" t="s">
        <v>3517</v>
      </c>
      <c r="D26" s="114" t="s">
        <v>3518</v>
      </c>
      <c r="E26" s="114" t="s">
        <v>3134</v>
      </c>
    </row>
  </sheetData>
  <mergeCells count="5">
    <mergeCell ref="A2:E2"/>
    <mergeCell ref="A3:E3"/>
    <mergeCell ref="A9:E9"/>
    <mergeCell ref="A15:E15"/>
    <mergeCell ref="A21:E21"/>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5" min="3" style="1" width="34"/>
    <col collapsed="false" customWidth="true" hidden="false" outlineLevel="0" max="7" min="6" style="1" width="38"/>
  </cols>
  <sheetData>
    <row r="1" customFormat="false" ht="15" hidden="false" customHeight="true" outlineLevel="0" collapsed="false">
      <c r="A1" s="78" t="s">
        <v>56</v>
      </c>
    </row>
    <row r="2" customFormat="false" ht="15.75" hidden="false" customHeight="true" outlineLevel="0" collapsed="false">
      <c r="A2" s="111" t="s">
        <v>3519</v>
      </c>
      <c r="B2" s="111"/>
      <c r="C2" s="111"/>
      <c r="D2" s="111"/>
      <c r="E2" s="111"/>
      <c r="F2" s="111"/>
      <c r="G2" s="111"/>
    </row>
    <row r="3" customFormat="false" ht="21.75" hidden="false" customHeight="true" outlineLevel="0" collapsed="false">
      <c r="A3" s="118" t="s">
        <v>3520</v>
      </c>
      <c r="B3" s="118"/>
      <c r="C3" s="118"/>
      <c r="D3" s="118"/>
      <c r="E3" s="118"/>
      <c r="F3" s="118"/>
      <c r="G3" s="118"/>
    </row>
    <row r="4" customFormat="false" ht="25.5" hidden="false" customHeight="true" outlineLevel="0" collapsed="false">
      <c r="A4" s="119" t="s">
        <v>3521</v>
      </c>
      <c r="B4" s="119"/>
      <c r="C4" s="119"/>
      <c r="D4" s="119"/>
      <c r="E4" s="119"/>
      <c r="F4" s="119"/>
      <c r="G4" s="119"/>
    </row>
    <row r="6" customFormat="false" ht="21.75" hidden="false" customHeight="true" outlineLevel="0" collapsed="false">
      <c r="A6" s="55" t="s">
        <v>1490</v>
      </c>
      <c r="B6" s="55" t="s">
        <v>3522</v>
      </c>
      <c r="C6" s="55" t="s">
        <v>3523</v>
      </c>
      <c r="D6" s="55" t="s">
        <v>3524</v>
      </c>
      <c r="E6" s="55" t="s">
        <v>3525</v>
      </c>
      <c r="F6" s="55" t="s">
        <v>3526</v>
      </c>
      <c r="G6" s="55" t="s">
        <v>3527</v>
      </c>
    </row>
    <row r="7" customFormat="false" ht="45.75" hidden="false" customHeight="true" outlineLevel="0" collapsed="false">
      <c r="A7" s="120" t="s">
        <v>1497</v>
      </c>
      <c r="B7" s="120" t="s">
        <v>216</v>
      </c>
      <c r="C7" s="121" t="s">
        <v>219</v>
      </c>
      <c r="D7" s="122" t="s">
        <v>222</v>
      </c>
      <c r="E7" s="123" t="s">
        <v>218</v>
      </c>
      <c r="F7" s="98" t="s">
        <v>992</v>
      </c>
      <c r="G7" s="56" t="s">
        <v>994</v>
      </c>
    </row>
    <row r="8" customFormat="false" ht="45.75" hidden="false" customHeight="true" outlineLevel="0" collapsed="false">
      <c r="A8" s="120" t="s">
        <v>1497</v>
      </c>
      <c r="B8" s="120" t="s">
        <v>226</v>
      </c>
      <c r="C8" s="121" t="s">
        <v>228</v>
      </c>
      <c r="D8" s="122" t="s">
        <v>231</v>
      </c>
      <c r="E8" s="123" t="s">
        <v>227</v>
      </c>
      <c r="F8" s="98" t="s">
        <v>999</v>
      </c>
      <c r="G8" s="56" t="s">
        <v>1001</v>
      </c>
    </row>
    <row r="9" customFormat="false" ht="45.75" hidden="false" customHeight="true" outlineLevel="0" collapsed="false">
      <c r="A9" s="120" t="s">
        <v>1497</v>
      </c>
      <c r="B9" s="120" t="s">
        <v>235</v>
      </c>
      <c r="C9" s="121" t="s">
        <v>238</v>
      </c>
      <c r="D9" s="122" t="s">
        <v>241</v>
      </c>
      <c r="E9" s="123" t="s">
        <v>237</v>
      </c>
      <c r="F9" s="98" t="s">
        <v>1005</v>
      </c>
      <c r="G9" s="56" t="s">
        <v>1007</v>
      </c>
    </row>
    <row r="10" customFormat="false" ht="45.75" hidden="false" customHeight="true" outlineLevel="0" collapsed="false">
      <c r="A10" s="120" t="s">
        <v>1497</v>
      </c>
      <c r="B10" s="120" t="s">
        <v>245</v>
      </c>
      <c r="C10" s="121" t="s">
        <v>247</v>
      </c>
      <c r="D10" s="122" t="s">
        <v>250</v>
      </c>
      <c r="E10" s="123" t="s">
        <v>246</v>
      </c>
      <c r="F10" s="98" t="s">
        <v>1011</v>
      </c>
      <c r="G10" s="56" t="s">
        <v>1013</v>
      </c>
    </row>
    <row r="11" customFormat="false" ht="45.75" hidden="false" customHeight="true" outlineLevel="0" collapsed="false">
      <c r="A11" s="120" t="s">
        <v>1497</v>
      </c>
      <c r="B11" s="120" t="s">
        <v>254</v>
      </c>
      <c r="C11" s="121" t="s">
        <v>257</v>
      </c>
      <c r="D11" s="122" t="s">
        <v>260</v>
      </c>
      <c r="E11" s="123" t="s">
        <v>256</v>
      </c>
      <c r="F11" s="98" t="s">
        <v>1017</v>
      </c>
      <c r="G11" s="56" t="s">
        <v>1019</v>
      </c>
    </row>
    <row r="12" customFormat="false" ht="45.75" hidden="false" customHeight="true" outlineLevel="0" collapsed="false">
      <c r="A12" s="120" t="s">
        <v>1497</v>
      </c>
      <c r="B12" s="120" t="s">
        <v>264</v>
      </c>
      <c r="C12" s="121" t="s">
        <v>266</v>
      </c>
      <c r="D12" s="122" t="s">
        <v>269</v>
      </c>
      <c r="E12" s="123" t="s">
        <v>265</v>
      </c>
      <c r="F12" s="98" t="s">
        <v>1023</v>
      </c>
      <c r="G12" s="56" t="s">
        <v>1025</v>
      </c>
    </row>
    <row r="13" customFormat="false" ht="45.75" hidden="false" customHeight="true" outlineLevel="0" collapsed="false">
      <c r="A13" s="120" t="s">
        <v>1497</v>
      </c>
      <c r="B13" s="120" t="s">
        <v>273</v>
      </c>
      <c r="C13" s="121" t="s">
        <v>275</v>
      </c>
      <c r="D13" s="122" t="s">
        <v>278</v>
      </c>
      <c r="E13" s="123" t="s">
        <v>274</v>
      </c>
      <c r="F13" s="98" t="s">
        <v>1029</v>
      </c>
      <c r="G13" s="56" t="s">
        <v>3528</v>
      </c>
    </row>
    <row r="14" customFormat="false" ht="45.75" hidden="false" customHeight="true" outlineLevel="0" collapsed="false">
      <c r="A14" s="120" t="s">
        <v>1497</v>
      </c>
      <c r="B14" s="120" t="s">
        <v>282</v>
      </c>
      <c r="C14" s="121" t="s">
        <v>284</v>
      </c>
      <c r="D14" s="122" t="s">
        <v>287</v>
      </c>
      <c r="E14" s="123" t="s">
        <v>283</v>
      </c>
      <c r="F14" s="98" t="s">
        <v>1035</v>
      </c>
      <c r="G14" s="56" t="s">
        <v>1037</v>
      </c>
    </row>
    <row r="15" customFormat="false" ht="45.75" hidden="false" customHeight="true" outlineLevel="0" collapsed="false">
      <c r="A15" s="120" t="s">
        <v>1497</v>
      </c>
      <c r="B15" s="120" t="s">
        <v>291</v>
      </c>
      <c r="C15" s="121" t="s">
        <v>294</v>
      </c>
      <c r="D15" s="122" t="s">
        <v>297</v>
      </c>
      <c r="E15" s="123" t="s">
        <v>293</v>
      </c>
      <c r="F15" s="98" t="s">
        <v>1041</v>
      </c>
      <c r="G15" s="56" t="s">
        <v>1043</v>
      </c>
    </row>
    <row r="16" customFormat="false" ht="45.75" hidden="false" customHeight="true" outlineLevel="0" collapsed="false">
      <c r="A16" s="120" t="s">
        <v>1497</v>
      </c>
      <c r="B16" s="120" t="s">
        <v>301</v>
      </c>
      <c r="C16" s="121" t="s">
        <v>303</v>
      </c>
      <c r="D16" s="122" t="s">
        <v>306</v>
      </c>
      <c r="E16" s="123" t="s">
        <v>302</v>
      </c>
      <c r="F16" s="98" t="s">
        <v>1047</v>
      </c>
      <c r="G16" s="56" t="s">
        <v>3529</v>
      </c>
    </row>
    <row r="17" customFormat="false" ht="45.75" hidden="false" customHeight="true" outlineLevel="0" collapsed="false">
      <c r="A17" s="120" t="s">
        <v>1497</v>
      </c>
      <c r="B17" s="120" t="s">
        <v>310</v>
      </c>
      <c r="C17" s="121" t="s">
        <v>313</v>
      </c>
      <c r="D17" s="122" t="s">
        <v>316</v>
      </c>
      <c r="E17" s="123" t="s">
        <v>312</v>
      </c>
      <c r="F17" s="98" t="s">
        <v>1053</v>
      </c>
      <c r="G17" s="56" t="s">
        <v>1055</v>
      </c>
    </row>
    <row r="18" customFormat="false" ht="45.75" hidden="false" customHeight="true" outlineLevel="0" collapsed="false">
      <c r="A18" s="120" t="s">
        <v>1497</v>
      </c>
      <c r="B18" s="120" t="s">
        <v>320</v>
      </c>
      <c r="C18" s="121" t="s">
        <v>322</v>
      </c>
      <c r="D18" s="122" t="s">
        <v>325</v>
      </c>
      <c r="E18" s="123" t="s">
        <v>321</v>
      </c>
      <c r="F18" s="98" t="s">
        <v>1059</v>
      </c>
      <c r="G18" s="56" t="s">
        <v>1061</v>
      </c>
    </row>
    <row r="19" customFormat="false" ht="45.75" hidden="false" customHeight="true" outlineLevel="0" collapsed="false">
      <c r="A19" s="120" t="s">
        <v>1497</v>
      </c>
      <c r="B19" s="120" t="s">
        <v>329</v>
      </c>
      <c r="C19" s="121" t="s">
        <v>332</v>
      </c>
      <c r="D19" s="122" t="s">
        <v>335</v>
      </c>
      <c r="E19" s="123" t="s">
        <v>331</v>
      </c>
      <c r="F19" s="98" t="s">
        <v>1065</v>
      </c>
      <c r="G19" s="56" t="s">
        <v>1067</v>
      </c>
    </row>
    <row r="20" customFormat="false" ht="45.75" hidden="false" customHeight="true" outlineLevel="0" collapsed="false">
      <c r="A20" s="120" t="s">
        <v>1497</v>
      </c>
      <c r="B20" s="120" t="s">
        <v>339</v>
      </c>
      <c r="C20" s="121" t="s">
        <v>341</v>
      </c>
      <c r="D20" s="122" t="s">
        <v>344</v>
      </c>
      <c r="E20" s="123" t="s">
        <v>340</v>
      </c>
      <c r="F20" s="98" t="s">
        <v>1071</v>
      </c>
      <c r="G20" s="56" t="s">
        <v>1073</v>
      </c>
    </row>
    <row r="21" customFormat="false" ht="45.75" hidden="false" customHeight="true" outlineLevel="0" collapsed="false">
      <c r="A21" s="120" t="s">
        <v>1497</v>
      </c>
      <c r="B21" s="120" t="s">
        <v>348</v>
      </c>
      <c r="C21" s="121" t="s">
        <v>350</v>
      </c>
      <c r="D21" s="122" t="s">
        <v>353</v>
      </c>
      <c r="E21" s="123" t="s">
        <v>349</v>
      </c>
      <c r="F21" s="98" t="s">
        <v>1077</v>
      </c>
      <c r="G21" s="56" t="s">
        <v>1079</v>
      </c>
    </row>
    <row r="22" customFormat="false" ht="45.75" hidden="false" customHeight="true" outlineLevel="0" collapsed="false">
      <c r="A22" s="120" t="s">
        <v>1497</v>
      </c>
      <c r="B22" s="120" t="s">
        <v>357</v>
      </c>
      <c r="C22" s="121" t="s">
        <v>359</v>
      </c>
      <c r="D22" s="122" t="s">
        <v>362</v>
      </c>
      <c r="E22" s="123" t="s">
        <v>358</v>
      </c>
      <c r="F22" s="98" t="s">
        <v>1083</v>
      </c>
      <c r="G22" s="56" t="s">
        <v>1085</v>
      </c>
    </row>
    <row r="23" customFormat="false" ht="45.75" hidden="false" customHeight="true" outlineLevel="0" collapsed="false">
      <c r="A23" s="120" t="s">
        <v>1497</v>
      </c>
      <c r="B23" s="120" t="s">
        <v>366</v>
      </c>
      <c r="C23" s="121" t="s">
        <v>368</v>
      </c>
      <c r="D23" s="122" t="s">
        <v>371</v>
      </c>
      <c r="E23" s="123" t="s">
        <v>367</v>
      </c>
      <c r="F23" s="98" t="s">
        <v>1089</v>
      </c>
      <c r="G23" s="56" t="s">
        <v>1091</v>
      </c>
    </row>
    <row r="24" customFormat="false" ht="45.75" hidden="false" customHeight="true" outlineLevel="0" collapsed="false">
      <c r="A24" s="120" t="s">
        <v>1497</v>
      </c>
      <c r="B24" s="120" t="s">
        <v>375</v>
      </c>
      <c r="C24" s="121" t="s">
        <v>378</v>
      </c>
      <c r="D24" s="122" t="s">
        <v>381</v>
      </c>
      <c r="E24" s="123" t="s">
        <v>377</v>
      </c>
      <c r="F24" s="98" t="s">
        <v>1095</v>
      </c>
      <c r="G24" s="56" t="s">
        <v>1097</v>
      </c>
    </row>
    <row r="25" customFormat="false" ht="45.75" hidden="false" customHeight="true" outlineLevel="0" collapsed="false">
      <c r="A25" s="120" t="s">
        <v>1497</v>
      </c>
      <c r="B25" s="120" t="s">
        <v>385</v>
      </c>
      <c r="C25" s="121" t="s">
        <v>387</v>
      </c>
      <c r="D25" s="122" t="s">
        <v>390</v>
      </c>
      <c r="E25" s="123" t="s">
        <v>386</v>
      </c>
      <c r="F25" s="98" t="s">
        <v>1101</v>
      </c>
      <c r="G25" s="56" t="s">
        <v>1103</v>
      </c>
    </row>
    <row r="26" customFormat="false" ht="45.75" hidden="false" customHeight="true" outlineLevel="0" collapsed="false">
      <c r="A26" s="120" t="s">
        <v>1827</v>
      </c>
      <c r="B26" s="120" t="s">
        <v>394</v>
      </c>
      <c r="C26" s="121" t="s">
        <v>397</v>
      </c>
      <c r="D26" s="122" t="s">
        <v>400</v>
      </c>
      <c r="E26" s="123" t="s">
        <v>396</v>
      </c>
      <c r="F26" s="98" t="s">
        <v>1107</v>
      </c>
      <c r="G26" s="56" t="s">
        <v>1109</v>
      </c>
    </row>
    <row r="27" customFormat="false" ht="45.75" hidden="false" customHeight="true" outlineLevel="0" collapsed="false">
      <c r="A27" s="120" t="s">
        <v>1827</v>
      </c>
      <c r="B27" s="120" t="s">
        <v>404</v>
      </c>
      <c r="C27" s="121" t="s">
        <v>406</v>
      </c>
      <c r="D27" s="122" t="s">
        <v>409</v>
      </c>
      <c r="E27" s="123" t="s">
        <v>405</v>
      </c>
      <c r="F27" s="98" t="s">
        <v>1114</v>
      </c>
      <c r="G27" s="56" t="s">
        <v>1116</v>
      </c>
    </row>
    <row r="28" customFormat="false" ht="45.75" hidden="false" customHeight="true" outlineLevel="0" collapsed="false">
      <c r="A28" s="120" t="s">
        <v>1827</v>
      </c>
      <c r="B28" s="120" t="s">
        <v>413</v>
      </c>
      <c r="C28" s="121" t="s">
        <v>415</v>
      </c>
      <c r="D28" s="122" t="s">
        <v>418</v>
      </c>
      <c r="E28" s="123" t="s">
        <v>414</v>
      </c>
      <c r="F28" s="98" t="s">
        <v>1120</v>
      </c>
      <c r="G28" s="56" t="s">
        <v>1122</v>
      </c>
    </row>
    <row r="29" customFormat="false" ht="45.75" hidden="false" customHeight="true" outlineLevel="0" collapsed="false">
      <c r="A29" s="120" t="s">
        <v>1827</v>
      </c>
      <c r="B29" s="120" t="s">
        <v>422</v>
      </c>
      <c r="C29" s="121" t="s">
        <v>425</v>
      </c>
      <c r="D29" s="122" t="s">
        <v>428</v>
      </c>
      <c r="E29" s="123" t="s">
        <v>424</v>
      </c>
      <c r="F29" s="98" t="s">
        <v>1126</v>
      </c>
      <c r="G29" s="56" t="s">
        <v>1128</v>
      </c>
    </row>
    <row r="30" customFormat="false" ht="45.75" hidden="false" customHeight="true" outlineLevel="0" collapsed="false">
      <c r="A30" s="120" t="s">
        <v>1827</v>
      </c>
      <c r="B30" s="120" t="s">
        <v>432</v>
      </c>
      <c r="C30" s="121" t="s">
        <v>434</v>
      </c>
      <c r="D30" s="122" t="s">
        <v>437</v>
      </c>
      <c r="E30" s="123" t="s">
        <v>433</v>
      </c>
      <c r="F30" s="98" t="s">
        <v>1132</v>
      </c>
      <c r="G30" s="56" t="s">
        <v>1134</v>
      </c>
    </row>
    <row r="31" customFormat="false" ht="45.75" hidden="false" customHeight="true" outlineLevel="0" collapsed="false">
      <c r="A31" s="120" t="s">
        <v>1827</v>
      </c>
      <c r="B31" s="120" t="s">
        <v>441</v>
      </c>
      <c r="C31" s="121" t="s">
        <v>443</v>
      </c>
      <c r="D31" s="122" t="s">
        <v>446</v>
      </c>
      <c r="E31" s="123" t="s">
        <v>442</v>
      </c>
      <c r="F31" s="98" t="s">
        <v>1138</v>
      </c>
      <c r="G31" s="56" t="s">
        <v>1140</v>
      </c>
    </row>
    <row r="32" customFormat="false" ht="45.75" hidden="false" customHeight="true" outlineLevel="0" collapsed="false">
      <c r="A32" s="120" t="s">
        <v>1827</v>
      </c>
      <c r="B32" s="120" t="s">
        <v>450</v>
      </c>
      <c r="C32" s="121" t="s">
        <v>453</v>
      </c>
      <c r="D32" s="122" t="s">
        <v>456</v>
      </c>
      <c r="E32" s="123" t="s">
        <v>452</v>
      </c>
      <c r="F32" s="98" t="s">
        <v>1144</v>
      </c>
      <c r="G32" s="56" t="s">
        <v>1146</v>
      </c>
    </row>
    <row r="33" customFormat="false" ht="45.75" hidden="false" customHeight="true" outlineLevel="0" collapsed="false">
      <c r="A33" s="120" t="s">
        <v>1827</v>
      </c>
      <c r="B33" s="120" t="s">
        <v>460</v>
      </c>
      <c r="C33" s="121" t="s">
        <v>462</v>
      </c>
      <c r="D33" s="122" t="s">
        <v>465</v>
      </c>
      <c r="E33" s="123" t="s">
        <v>461</v>
      </c>
      <c r="F33" s="98" t="s">
        <v>1150</v>
      </c>
      <c r="G33" s="56" t="s">
        <v>1152</v>
      </c>
    </row>
    <row r="34" customFormat="false" ht="45.75" hidden="false" customHeight="true" outlineLevel="0" collapsed="false">
      <c r="A34" s="120" t="s">
        <v>1827</v>
      </c>
      <c r="B34" s="120" t="s">
        <v>469</v>
      </c>
      <c r="C34" s="121" t="s">
        <v>471</v>
      </c>
      <c r="D34" s="122" t="s">
        <v>474</v>
      </c>
      <c r="E34" s="123" t="s">
        <v>470</v>
      </c>
      <c r="F34" s="98" t="s">
        <v>1156</v>
      </c>
      <c r="G34" s="56" t="s">
        <v>1158</v>
      </c>
    </row>
    <row r="35" customFormat="false" ht="45.75" hidden="false" customHeight="true" outlineLevel="0" collapsed="false">
      <c r="A35" s="120" t="s">
        <v>1827</v>
      </c>
      <c r="B35" s="120" t="s">
        <v>478</v>
      </c>
      <c r="C35" s="121" t="s">
        <v>481</v>
      </c>
      <c r="D35" s="122" t="s">
        <v>484</v>
      </c>
      <c r="E35" s="123" t="s">
        <v>480</v>
      </c>
      <c r="F35" s="98" t="s">
        <v>1162</v>
      </c>
      <c r="G35" s="56" t="s">
        <v>1164</v>
      </c>
    </row>
    <row r="36" customFormat="false" ht="45.75" hidden="false" customHeight="true" outlineLevel="0" collapsed="false">
      <c r="A36" s="120" t="s">
        <v>1827</v>
      </c>
      <c r="B36" s="120" t="s">
        <v>488</v>
      </c>
      <c r="C36" s="121" t="s">
        <v>490</v>
      </c>
      <c r="D36" s="122" t="s">
        <v>493</v>
      </c>
      <c r="E36" s="123" t="s">
        <v>489</v>
      </c>
      <c r="F36" s="98" t="s">
        <v>1168</v>
      </c>
      <c r="G36" s="56" t="s">
        <v>1170</v>
      </c>
    </row>
    <row r="37" customFormat="false" ht="45.75" hidden="false" customHeight="true" outlineLevel="0" collapsed="false">
      <c r="A37" s="120" t="s">
        <v>1827</v>
      </c>
      <c r="B37" s="120" t="s">
        <v>497</v>
      </c>
      <c r="C37" s="121" t="s">
        <v>499</v>
      </c>
      <c r="D37" s="122" t="s">
        <v>502</v>
      </c>
      <c r="E37" s="123" t="s">
        <v>498</v>
      </c>
      <c r="F37" s="98" t="s">
        <v>1174</v>
      </c>
      <c r="G37" s="56" t="s">
        <v>1176</v>
      </c>
    </row>
    <row r="38" customFormat="false" ht="45.75" hidden="false" customHeight="true" outlineLevel="0" collapsed="false">
      <c r="A38" s="120" t="s">
        <v>1827</v>
      </c>
      <c r="B38" s="120" t="s">
        <v>506</v>
      </c>
      <c r="C38" s="121" t="s">
        <v>509</v>
      </c>
      <c r="D38" s="122" t="s">
        <v>512</v>
      </c>
      <c r="E38" s="123" t="s">
        <v>508</v>
      </c>
      <c r="F38" s="98" t="s">
        <v>1180</v>
      </c>
      <c r="G38" s="56" t="s">
        <v>1182</v>
      </c>
    </row>
    <row r="39" customFormat="false" ht="45.75" hidden="false" customHeight="true" outlineLevel="0" collapsed="false">
      <c r="A39" s="120" t="s">
        <v>1827</v>
      </c>
      <c r="B39" s="120" t="s">
        <v>516</v>
      </c>
      <c r="C39" s="121" t="s">
        <v>518</v>
      </c>
      <c r="D39" s="122" t="s">
        <v>521</v>
      </c>
      <c r="E39" s="123" t="s">
        <v>517</v>
      </c>
      <c r="F39" s="98" t="s">
        <v>1186</v>
      </c>
      <c r="G39" s="56" t="s">
        <v>1188</v>
      </c>
    </row>
    <row r="40" customFormat="false" ht="45.75" hidden="false" customHeight="true" outlineLevel="0" collapsed="false">
      <c r="A40" s="120" t="s">
        <v>1827</v>
      </c>
      <c r="B40" s="120" t="s">
        <v>525</v>
      </c>
      <c r="C40" s="121" t="s">
        <v>527</v>
      </c>
      <c r="D40" s="122" t="s">
        <v>530</v>
      </c>
      <c r="E40" s="123" t="s">
        <v>526</v>
      </c>
      <c r="F40" s="98" t="s">
        <v>1192</v>
      </c>
      <c r="G40" s="56" t="s">
        <v>1194</v>
      </c>
    </row>
    <row r="41" customFormat="false" ht="45.75" hidden="false" customHeight="true" outlineLevel="0" collapsed="false">
      <c r="A41" s="120" t="s">
        <v>1827</v>
      </c>
      <c r="B41" s="120" t="s">
        <v>534</v>
      </c>
      <c r="C41" s="121" t="s">
        <v>537</v>
      </c>
      <c r="D41" s="122" t="s">
        <v>540</v>
      </c>
      <c r="E41" s="123" t="s">
        <v>536</v>
      </c>
      <c r="F41" s="98" t="s">
        <v>1198</v>
      </c>
      <c r="G41" s="56" t="s">
        <v>1200</v>
      </c>
    </row>
    <row r="42" customFormat="false" ht="45.75" hidden="false" customHeight="true" outlineLevel="0" collapsed="false">
      <c r="A42" s="120" t="s">
        <v>1827</v>
      </c>
      <c r="B42" s="120" t="s">
        <v>544</v>
      </c>
      <c r="C42" s="121" t="s">
        <v>546</v>
      </c>
      <c r="D42" s="122" t="s">
        <v>549</v>
      </c>
      <c r="E42" s="123" t="s">
        <v>545</v>
      </c>
      <c r="F42" s="98" t="s">
        <v>1204</v>
      </c>
      <c r="G42" s="56" t="s">
        <v>1206</v>
      </c>
    </row>
    <row r="43" customFormat="false" ht="45.75" hidden="false" customHeight="true" outlineLevel="0" collapsed="false">
      <c r="A43" s="120" t="s">
        <v>1827</v>
      </c>
      <c r="B43" s="120" t="s">
        <v>553</v>
      </c>
      <c r="C43" s="121" t="s">
        <v>556</v>
      </c>
      <c r="D43" s="122" t="s">
        <v>559</v>
      </c>
      <c r="E43" s="123" t="s">
        <v>555</v>
      </c>
      <c r="F43" s="98" t="s">
        <v>1210</v>
      </c>
      <c r="G43" s="56" t="s">
        <v>1212</v>
      </c>
    </row>
    <row r="44" customFormat="false" ht="45.75" hidden="false" customHeight="true" outlineLevel="0" collapsed="false">
      <c r="A44" s="120" t="s">
        <v>1827</v>
      </c>
      <c r="B44" s="120" t="s">
        <v>563</v>
      </c>
      <c r="C44" s="121" t="s">
        <v>565</v>
      </c>
      <c r="D44" s="122" t="s">
        <v>568</v>
      </c>
      <c r="E44" s="123" t="s">
        <v>564</v>
      </c>
      <c r="F44" s="98" t="s">
        <v>1216</v>
      </c>
      <c r="G44" s="56" t="s">
        <v>1218</v>
      </c>
    </row>
    <row r="45" customFormat="false" ht="45.75" hidden="false" customHeight="true" outlineLevel="0" collapsed="false">
      <c r="A45" s="120" t="s">
        <v>1827</v>
      </c>
      <c r="B45" s="120" t="s">
        <v>572</v>
      </c>
      <c r="C45" s="121" t="s">
        <v>574</v>
      </c>
      <c r="D45" s="122" t="s">
        <v>577</v>
      </c>
      <c r="E45" s="123" t="s">
        <v>573</v>
      </c>
      <c r="F45" s="98" t="s">
        <v>1222</v>
      </c>
      <c r="G45" s="56" t="s">
        <v>1224</v>
      </c>
    </row>
    <row r="46" customFormat="false" ht="45.75" hidden="false" customHeight="true" outlineLevel="0" collapsed="false">
      <c r="A46" s="120" t="s">
        <v>1827</v>
      </c>
      <c r="B46" s="120" t="s">
        <v>581</v>
      </c>
      <c r="C46" s="121" t="s">
        <v>584</v>
      </c>
      <c r="D46" s="122" t="s">
        <v>587</v>
      </c>
      <c r="E46" s="123" t="s">
        <v>583</v>
      </c>
      <c r="F46" s="98" t="s">
        <v>1228</v>
      </c>
      <c r="G46" s="56" t="s">
        <v>1230</v>
      </c>
    </row>
    <row r="47" customFormat="false" ht="45.75" hidden="false" customHeight="true" outlineLevel="0" collapsed="false">
      <c r="A47" s="120" t="s">
        <v>1827</v>
      </c>
      <c r="B47" s="120" t="s">
        <v>591</v>
      </c>
      <c r="C47" s="121" t="s">
        <v>593</v>
      </c>
      <c r="D47" s="122" t="s">
        <v>596</v>
      </c>
      <c r="E47" s="123" t="s">
        <v>592</v>
      </c>
      <c r="F47" s="98" t="s">
        <v>1234</v>
      </c>
      <c r="G47" s="56" t="s">
        <v>1236</v>
      </c>
    </row>
    <row r="48" customFormat="false" ht="45.75" hidden="false" customHeight="true" outlineLevel="0" collapsed="false">
      <c r="A48" s="120" t="s">
        <v>2202</v>
      </c>
      <c r="B48" s="120" t="s">
        <v>600</v>
      </c>
      <c r="C48" s="121" t="s">
        <v>603</v>
      </c>
      <c r="D48" s="122" t="s">
        <v>606</v>
      </c>
      <c r="E48" s="123" t="s">
        <v>602</v>
      </c>
      <c r="F48" s="98" t="s">
        <v>1240</v>
      </c>
      <c r="G48" s="56" t="s">
        <v>1242</v>
      </c>
    </row>
    <row r="49" customFormat="false" ht="45.75" hidden="false" customHeight="true" outlineLevel="0" collapsed="false">
      <c r="A49" s="120" t="s">
        <v>2202</v>
      </c>
      <c r="B49" s="120" t="s">
        <v>610</v>
      </c>
      <c r="C49" s="121" t="s">
        <v>612</v>
      </c>
      <c r="D49" s="122" t="s">
        <v>615</v>
      </c>
      <c r="E49" s="123" t="s">
        <v>611</v>
      </c>
      <c r="F49" s="98" t="s">
        <v>1247</v>
      </c>
      <c r="G49" s="56" t="s">
        <v>1249</v>
      </c>
    </row>
    <row r="50" customFormat="false" ht="45.75" hidden="false" customHeight="true" outlineLevel="0" collapsed="false">
      <c r="A50" s="120" t="s">
        <v>2202</v>
      </c>
      <c r="B50" s="120" t="s">
        <v>619</v>
      </c>
      <c r="C50" s="121" t="s">
        <v>622</v>
      </c>
      <c r="D50" s="122" t="s">
        <v>625</v>
      </c>
      <c r="E50" s="123" t="s">
        <v>621</v>
      </c>
      <c r="F50" s="98" t="s">
        <v>1253</v>
      </c>
      <c r="G50" s="56" t="s">
        <v>1255</v>
      </c>
    </row>
    <row r="51" customFormat="false" ht="45.75" hidden="false" customHeight="true" outlineLevel="0" collapsed="false">
      <c r="A51" s="120" t="s">
        <v>2202</v>
      </c>
      <c r="B51" s="120" t="s">
        <v>629</v>
      </c>
      <c r="C51" s="121" t="s">
        <v>631</v>
      </c>
      <c r="D51" s="122" t="s">
        <v>634</v>
      </c>
      <c r="E51" s="123" t="s">
        <v>630</v>
      </c>
      <c r="F51" s="98" t="s">
        <v>1259</v>
      </c>
      <c r="G51" s="56" t="s">
        <v>1261</v>
      </c>
    </row>
    <row r="52" customFormat="false" ht="45.75" hidden="false" customHeight="true" outlineLevel="0" collapsed="false">
      <c r="A52" s="120" t="s">
        <v>2202</v>
      </c>
      <c r="B52" s="120" t="s">
        <v>638</v>
      </c>
      <c r="C52" s="121" t="s">
        <v>640</v>
      </c>
      <c r="D52" s="122" t="s">
        <v>643</v>
      </c>
      <c r="E52" s="123" t="s">
        <v>639</v>
      </c>
      <c r="F52" s="98" t="s">
        <v>1265</v>
      </c>
      <c r="G52" s="56" t="s">
        <v>1267</v>
      </c>
    </row>
    <row r="53" customFormat="false" ht="45.75" hidden="false" customHeight="true" outlineLevel="0" collapsed="false">
      <c r="A53" s="120" t="s">
        <v>2202</v>
      </c>
      <c r="B53" s="120" t="s">
        <v>647</v>
      </c>
      <c r="C53" s="121" t="s">
        <v>649</v>
      </c>
      <c r="D53" s="122" t="s">
        <v>652</v>
      </c>
      <c r="E53" s="123" t="s">
        <v>648</v>
      </c>
      <c r="F53" s="98" t="s">
        <v>1271</v>
      </c>
      <c r="G53" s="56" t="s">
        <v>1273</v>
      </c>
    </row>
    <row r="54" customFormat="false" ht="45.75" hidden="false" customHeight="true" outlineLevel="0" collapsed="false">
      <c r="A54" s="120" t="s">
        <v>2202</v>
      </c>
      <c r="B54" s="120" t="s">
        <v>656</v>
      </c>
      <c r="C54" s="121" t="s">
        <v>556</v>
      </c>
      <c r="D54" s="122" t="s">
        <v>660</v>
      </c>
      <c r="E54" s="123" t="s">
        <v>657</v>
      </c>
      <c r="F54" s="98" t="s">
        <v>1277</v>
      </c>
      <c r="G54" s="56" t="s">
        <v>1279</v>
      </c>
    </row>
    <row r="55" customFormat="false" ht="45.75" hidden="false" customHeight="true" outlineLevel="0" collapsed="false">
      <c r="A55" s="120" t="s">
        <v>2202</v>
      </c>
      <c r="B55" s="120" t="s">
        <v>664</v>
      </c>
      <c r="C55" s="121" t="s">
        <v>667</v>
      </c>
      <c r="D55" s="122" t="s">
        <v>670</v>
      </c>
      <c r="E55" s="123" t="s">
        <v>666</v>
      </c>
      <c r="F55" s="98" t="s">
        <v>1283</v>
      </c>
      <c r="G55" s="56" t="s">
        <v>1285</v>
      </c>
    </row>
    <row r="56" customFormat="false" ht="45.75" hidden="false" customHeight="true" outlineLevel="0" collapsed="false">
      <c r="A56" s="120" t="s">
        <v>2202</v>
      </c>
      <c r="B56" s="120" t="s">
        <v>674</v>
      </c>
      <c r="C56" s="121" t="s">
        <v>676</v>
      </c>
      <c r="D56" s="122" t="s">
        <v>679</v>
      </c>
      <c r="E56" s="123" t="s">
        <v>675</v>
      </c>
      <c r="F56" s="98" t="s">
        <v>1289</v>
      </c>
      <c r="G56" s="56" t="s">
        <v>1291</v>
      </c>
    </row>
    <row r="57" customFormat="false" ht="45.75" hidden="false" customHeight="true" outlineLevel="0" collapsed="false">
      <c r="A57" s="120" t="s">
        <v>2202</v>
      </c>
      <c r="B57" s="120" t="s">
        <v>683</v>
      </c>
      <c r="C57" s="121" t="s">
        <v>686</v>
      </c>
      <c r="D57" s="122" t="s">
        <v>689</v>
      </c>
      <c r="E57" s="123" t="s">
        <v>685</v>
      </c>
      <c r="F57" s="98" t="s">
        <v>1295</v>
      </c>
      <c r="G57" s="56" t="s">
        <v>1297</v>
      </c>
    </row>
    <row r="58" customFormat="false" ht="45.75" hidden="false" customHeight="true" outlineLevel="0" collapsed="false">
      <c r="A58" s="120" t="s">
        <v>2202</v>
      </c>
      <c r="B58" s="120" t="s">
        <v>693</v>
      </c>
      <c r="C58" s="121" t="s">
        <v>695</v>
      </c>
      <c r="D58" s="122" t="s">
        <v>698</v>
      </c>
      <c r="E58" s="123" t="s">
        <v>694</v>
      </c>
      <c r="F58" s="98" t="s">
        <v>1301</v>
      </c>
      <c r="G58" s="56" t="s">
        <v>1303</v>
      </c>
    </row>
    <row r="59" customFormat="false" ht="45.75" hidden="false" customHeight="true" outlineLevel="0" collapsed="false">
      <c r="A59" s="120" t="s">
        <v>2202</v>
      </c>
      <c r="B59" s="120" t="s">
        <v>701</v>
      </c>
      <c r="C59" s="121" t="s">
        <v>704</v>
      </c>
      <c r="D59" s="122" t="s">
        <v>707</v>
      </c>
      <c r="E59" s="123" t="s">
        <v>703</v>
      </c>
      <c r="F59" s="98" t="s">
        <v>1307</v>
      </c>
      <c r="G59" s="56" t="s">
        <v>1309</v>
      </c>
    </row>
    <row r="60" customFormat="false" ht="45.75" hidden="false" customHeight="true" outlineLevel="0" collapsed="false">
      <c r="A60" s="120" t="s">
        <v>2202</v>
      </c>
      <c r="B60" s="120" t="s">
        <v>711</v>
      </c>
      <c r="C60" s="121" t="s">
        <v>714</v>
      </c>
      <c r="D60" s="122" t="s">
        <v>717</v>
      </c>
      <c r="E60" s="123" t="s">
        <v>713</v>
      </c>
      <c r="F60" s="98" t="s">
        <v>1313</v>
      </c>
      <c r="G60" s="56" t="s">
        <v>1315</v>
      </c>
    </row>
    <row r="61" customFormat="false" ht="45.75" hidden="false" customHeight="true" outlineLevel="0" collapsed="false">
      <c r="A61" s="120" t="s">
        <v>2202</v>
      </c>
      <c r="B61" s="120" t="s">
        <v>721</v>
      </c>
      <c r="C61" s="121" t="s">
        <v>724</v>
      </c>
      <c r="D61" s="122" t="s">
        <v>727</v>
      </c>
      <c r="E61" s="123" t="s">
        <v>723</v>
      </c>
      <c r="F61" s="98" t="s">
        <v>1319</v>
      </c>
      <c r="G61" s="56" t="s">
        <v>1321</v>
      </c>
    </row>
    <row r="62" customFormat="false" ht="45.75" hidden="false" customHeight="true" outlineLevel="0" collapsed="false">
      <c r="A62" s="120" t="s">
        <v>2438</v>
      </c>
      <c r="B62" s="120" t="s">
        <v>730</v>
      </c>
      <c r="C62" s="121" t="s">
        <v>733</v>
      </c>
      <c r="D62" s="122" t="s">
        <v>736</v>
      </c>
      <c r="E62" s="123" t="s">
        <v>732</v>
      </c>
      <c r="F62" s="98" t="s">
        <v>1325</v>
      </c>
      <c r="G62" s="56" t="s">
        <v>1327</v>
      </c>
    </row>
    <row r="63" customFormat="false" ht="45.75" hidden="false" customHeight="true" outlineLevel="0" collapsed="false">
      <c r="A63" s="120" t="s">
        <v>2438</v>
      </c>
      <c r="B63" s="120" t="s">
        <v>740</v>
      </c>
      <c r="C63" s="121" t="s">
        <v>742</v>
      </c>
      <c r="D63" s="122" t="s">
        <v>745</v>
      </c>
      <c r="E63" s="123" t="s">
        <v>741</v>
      </c>
      <c r="F63" s="98" t="s">
        <v>1332</v>
      </c>
      <c r="G63" s="56" t="s">
        <v>1334</v>
      </c>
    </row>
    <row r="64" customFormat="false" ht="45.75" hidden="false" customHeight="true" outlineLevel="0" collapsed="false">
      <c r="A64" s="120" t="s">
        <v>2438</v>
      </c>
      <c r="B64" s="120" t="s">
        <v>749</v>
      </c>
      <c r="C64" s="121" t="s">
        <v>752</v>
      </c>
      <c r="D64" s="122" t="s">
        <v>755</v>
      </c>
      <c r="E64" s="123" t="s">
        <v>751</v>
      </c>
      <c r="F64" s="98" t="s">
        <v>1338</v>
      </c>
      <c r="G64" s="56" t="s">
        <v>1340</v>
      </c>
    </row>
    <row r="65" customFormat="false" ht="45.75" hidden="false" customHeight="true" outlineLevel="0" collapsed="false">
      <c r="A65" s="120" t="s">
        <v>2438</v>
      </c>
      <c r="B65" s="120" t="s">
        <v>759</v>
      </c>
      <c r="C65" s="121" t="s">
        <v>761</v>
      </c>
      <c r="D65" s="122" t="s">
        <v>764</v>
      </c>
      <c r="E65" s="123" t="s">
        <v>760</v>
      </c>
      <c r="F65" s="98" t="s">
        <v>1344</v>
      </c>
      <c r="G65" s="56" t="s">
        <v>1346</v>
      </c>
    </row>
    <row r="66" customFormat="false" ht="45.75" hidden="false" customHeight="true" outlineLevel="0" collapsed="false">
      <c r="A66" s="120" t="s">
        <v>2438</v>
      </c>
      <c r="B66" s="120" t="s">
        <v>768</v>
      </c>
      <c r="C66" s="121" t="s">
        <v>771</v>
      </c>
      <c r="D66" s="122" t="s">
        <v>774</v>
      </c>
      <c r="E66" s="123" t="s">
        <v>770</v>
      </c>
      <c r="F66" s="98" t="s">
        <v>1350</v>
      </c>
      <c r="G66" s="56" t="s">
        <v>1352</v>
      </c>
    </row>
    <row r="67" customFormat="false" ht="45.75" hidden="false" customHeight="true" outlineLevel="0" collapsed="false">
      <c r="A67" s="120" t="s">
        <v>2438</v>
      </c>
      <c r="B67" s="120" t="s">
        <v>778</v>
      </c>
      <c r="C67" s="121" t="s">
        <v>780</v>
      </c>
      <c r="D67" s="122" t="s">
        <v>783</v>
      </c>
      <c r="E67" s="123" t="s">
        <v>779</v>
      </c>
      <c r="F67" s="98" t="s">
        <v>1356</v>
      </c>
      <c r="G67" s="56" t="s">
        <v>1358</v>
      </c>
    </row>
    <row r="68" customFormat="false" ht="45.75" hidden="false" customHeight="true" outlineLevel="0" collapsed="false">
      <c r="A68" s="120" t="s">
        <v>2438</v>
      </c>
      <c r="B68" s="120" t="s">
        <v>787</v>
      </c>
      <c r="C68" s="121" t="s">
        <v>789</v>
      </c>
      <c r="D68" s="122" t="s">
        <v>792</v>
      </c>
      <c r="E68" s="123" t="s">
        <v>788</v>
      </c>
      <c r="F68" s="98" t="s">
        <v>1362</v>
      </c>
      <c r="G68" s="56" t="s">
        <v>1364</v>
      </c>
    </row>
    <row r="69" customFormat="false" ht="45.75" hidden="false" customHeight="true" outlineLevel="0" collapsed="false">
      <c r="A69" s="120" t="s">
        <v>2438</v>
      </c>
      <c r="B69" s="120" t="s">
        <v>796</v>
      </c>
      <c r="C69" s="121" t="s">
        <v>798</v>
      </c>
      <c r="D69" s="122" t="s">
        <v>801</v>
      </c>
      <c r="E69" s="123" t="s">
        <v>797</v>
      </c>
      <c r="F69" s="98" t="s">
        <v>1368</v>
      </c>
      <c r="G69" s="56" t="s">
        <v>1370</v>
      </c>
    </row>
    <row r="70" customFormat="false" ht="45.75" hidden="false" customHeight="true" outlineLevel="0" collapsed="false">
      <c r="A70" s="120" t="s">
        <v>2438</v>
      </c>
      <c r="B70" s="120" t="s">
        <v>805</v>
      </c>
      <c r="C70" s="121" t="s">
        <v>807</v>
      </c>
      <c r="D70" s="122" t="s">
        <v>810</v>
      </c>
      <c r="E70" s="123" t="s">
        <v>806</v>
      </c>
      <c r="F70" s="98" t="s">
        <v>1374</v>
      </c>
      <c r="G70" s="56" t="s">
        <v>1376</v>
      </c>
    </row>
    <row r="71" customFormat="false" ht="45.75" hidden="false" customHeight="true" outlineLevel="0" collapsed="false">
      <c r="A71" s="120" t="s">
        <v>2438</v>
      </c>
      <c r="B71" s="120" t="s">
        <v>814</v>
      </c>
      <c r="C71" s="121" t="s">
        <v>817</v>
      </c>
      <c r="D71" s="122" t="s">
        <v>820</v>
      </c>
      <c r="E71" s="123" t="s">
        <v>816</v>
      </c>
      <c r="F71" s="98" t="s">
        <v>1380</v>
      </c>
      <c r="G71" s="56" t="s">
        <v>1382</v>
      </c>
    </row>
    <row r="72" customFormat="false" ht="45.75" hidden="false" customHeight="true" outlineLevel="0" collapsed="false">
      <c r="A72" s="120" t="s">
        <v>2438</v>
      </c>
      <c r="B72" s="120" t="s">
        <v>824</v>
      </c>
      <c r="C72" s="121" t="s">
        <v>826</v>
      </c>
      <c r="D72" s="122" t="s">
        <v>829</v>
      </c>
      <c r="E72" s="123" t="s">
        <v>825</v>
      </c>
      <c r="F72" s="98" t="s">
        <v>1386</v>
      </c>
      <c r="G72" s="56" t="s">
        <v>1388</v>
      </c>
    </row>
    <row r="73" customFormat="false" ht="45.75" hidden="false" customHeight="true" outlineLevel="0" collapsed="false">
      <c r="A73" s="120" t="s">
        <v>2438</v>
      </c>
      <c r="B73" s="120" t="s">
        <v>833</v>
      </c>
      <c r="C73" s="121" t="s">
        <v>835</v>
      </c>
      <c r="D73" s="122" t="s">
        <v>838</v>
      </c>
      <c r="E73" s="123" t="s">
        <v>834</v>
      </c>
      <c r="F73" s="98" t="s">
        <v>1392</v>
      </c>
      <c r="G73" s="56" t="s">
        <v>1394</v>
      </c>
    </row>
    <row r="74" customFormat="false" ht="45.75" hidden="false" customHeight="true" outlineLevel="0" collapsed="false">
      <c r="A74" s="120" t="s">
        <v>2438</v>
      </c>
      <c r="B74" s="120" t="s">
        <v>842</v>
      </c>
      <c r="C74" s="121" t="s">
        <v>845</v>
      </c>
      <c r="D74" s="122" t="s">
        <v>848</v>
      </c>
      <c r="E74" s="123" t="s">
        <v>844</v>
      </c>
      <c r="F74" s="98" t="s">
        <v>1398</v>
      </c>
      <c r="G74" s="56" t="s">
        <v>1400</v>
      </c>
    </row>
    <row r="75" customFormat="false" ht="45.75" hidden="false" customHeight="true" outlineLevel="0" collapsed="false">
      <c r="A75" s="120" t="s">
        <v>2438</v>
      </c>
      <c r="B75" s="120" t="s">
        <v>852</v>
      </c>
      <c r="C75" s="121" t="s">
        <v>854</v>
      </c>
      <c r="D75" s="122" t="s">
        <v>857</v>
      </c>
      <c r="E75" s="123" t="s">
        <v>853</v>
      </c>
      <c r="F75" s="98" t="s">
        <v>1404</v>
      </c>
      <c r="G75" s="56" t="s">
        <v>1406</v>
      </c>
    </row>
    <row r="76" customFormat="false" ht="45.75" hidden="false" customHeight="true" outlineLevel="0" collapsed="false">
      <c r="A76" s="120" t="s">
        <v>2438</v>
      </c>
      <c r="B76" s="120" t="s">
        <v>861</v>
      </c>
      <c r="C76" s="121" t="s">
        <v>864</v>
      </c>
      <c r="D76" s="122" t="s">
        <v>867</v>
      </c>
      <c r="E76" s="123" t="s">
        <v>863</v>
      </c>
      <c r="F76" s="98" t="s">
        <v>1410</v>
      </c>
      <c r="G76" s="56" t="s">
        <v>1412</v>
      </c>
    </row>
    <row r="77" customFormat="false" ht="45.75" hidden="false" customHeight="true" outlineLevel="0" collapsed="false">
      <c r="A77" s="120" t="s">
        <v>2438</v>
      </c>
      <c r="B77" s="120" t="s">
        <v>871</v>
      </c>
      <c r="C77" s="121" t="s">
        <v>873</v>
      </c>
      <c r="D77" s="122" t="s">
        <v>876</v>
      </c>
      <c r="E77" s="123" t="s">
        <v>872</v>
      </c>
      <c r="F77" s="98" t="s">
        <v>1416</v>
      </c>
      <c r="G77" s="56" t="s">
        <v>1418</v>
      </c>
    </row>
    <row r="78" customFormat="false" ht="45.75" hidden="false" customHeight="true" outlineLevel="0" collapsed="false">
      <c r="A78" s="120" t="s">
        <v>2711</v>
      </c>
      <c r="B78" s="120" t="s">
        <v>880</v>
      </c>
      <c r="C78" s="121" t="s">
        <v>883</v>
      </c>
      <c r="D78" s="122" t="s">
        <v>886</v>
      </c>
      <c r="E78" s="123" t="s">
        <v>882</v>
      </c>
      <c r="F78" s="98" t="s">
        <v>1422</v>
      </c>
      <c r="G78" s="56" t="s">
        <v>1424</v>
      </c>
    </row>
    <row r="79" customFormat="false" ht="45.75" hidden="false" customHeight="true" outlineLevel="0" collapsed="false">
      <c r="A79" s="120" t="s">
        <v>2711</v>
      </c>
      <c r="B79" s="120" t="s">
        <v>890</v>
      </c>
      <c r="C79" s="121" t="s">
        <v>893</v>
      </c>
      <c r="D79" s="122" t="s">
        <v>896</v>
      </c>
      <c r="E79" s="123" t="s">
        <v>892</v>
      </c>
      <c r="F79" s="98" t="s">
        <v>1429</v>
      </c>
      <c r="G79" s="56" t="s">
        <v>1431</v>
      </c>
    </row>
    <row r="80" customFormat="false" ht="45.75" hidden="false" customHeight="true" outlineLevel="0" collapsed="false">
      <c r="A80" s="120" t="s">
        <v>2711</v>
      </c>
      <c r="B80" s="120" t="s">
        <v>900</v>
      </c>
      <c r="C80" s="121" t="s">
        <v>902</v>
      </c>
      <c r="D80" s="122" t="s">
        <v>905</v>
      </c>
      <c r="E80" s="123" t="s">
        <v>901</v>
      </c>
      <c r="F80" s="98" t="s">
        <v>1435</v>
      </c>
      <c r="G80" s="56" t="s">
        <v>1437</v>
      </c>
    </row>
    <row r="81" customFormat="false" ht="45.75" hidden="false" customHeight="true" outlineLevel="0" collapsed="false">
      <c r="A81" s="120" t="s">
        <v>2711</v>
      </c>
      <c r="B81" s="120" t="s">
        <v>909</v>
      </c>
      <c r="C81" s="121" t="s">
        <v>911</v>
      </c>
      <c r="D81" s="122" t="s">
        <v>914</v>
      </c>
      <c r="E81" s="123" t="s">
        <v>910</v>
      </c>
      <c r="F81" s="98" t="s">
        <v>1441</v>
      </c>
      <c r="G81" s="56" t="s">
        <v>1443</v>
      </c>
    </row>
    <row r="82" customFormat="false" ht="45.75" hidden="false" customHeight="true" outlineLevel="0" collapsed="false">
      <c r="A82" s="120" t="s">
        <v>2711</v>
      </c>
      <c r="B82" s="120" t="s">
        <v>918</v>
      </c>
      <c r="C82" s="121" t="s">
        <v>920</v>
      </c>
      <c r="D82" s="122" t="s">
        <v>923</v>
      </c>
      <c r="E82" s="123" t="s">
        <v>919</v>
      </c>
      <c r="F82" s="98" t="s">
        <v>1447</v>
      </c>
      <c r="G82" s="56" t="s">
        <v>1449</v>
      </c>
    </row>
    <row r="83" customFormat="false" ht="45.75" hidden="false" customHeight="true" outlineLevel="0" collapsed="false">
      <c r="A83" s="120" t="s">
        <v>2711</v>
      </c>
      <c r="B83" s="120" t="s">
        <v>927</v>
      </c>
      <c r="C83" s="121" t="s">
        <v>929</v>
      </c>
      <c r="D83" s="122" t="s">
        <v>932</v>
      </c>
      <c r="E83" s="123" t="s">
        <v>928</v>
      </c>
      <c r="F83" s="98" t="s">
        <v>1453</v>
      </c>
      <c r="G83" s="56" t="s">
        <v>1455</v>
      </c>
    </row>
    <row r="84" customFormat="false" ht="45.75" hidden="false" customHeight="true" outlineLevel="0" collapsed="false">
      <c r="A84" s="120" t="s">
        <v>2711</v>
      </c>
      <c r="B84" s="120" t="s">
        <v>936</v>
      </c>
      <c r="C84" s="121" t="s">
        <v>939</v>
      </c>
      <c r="D84" s="122" t="s">
        <v>942</v>
      </c>
      <c r="E84" s="123" t="s">
        <v>938</v>
      </c>
      <c r="F84" s="98" t="s">
        <v>1459</v>
      </c>
      <c r="G84" s="56" t="s">
        <v>1461</v>
      </c>
    </row>
    <row r="85" customFormat="false" ht="45.75" hidden="false" customHeight="true" outlineLevel="0" collapsed="false">
      <c r="A85" s="120" t="s">
        <v>2711</v>
      </c>
      <c r="B85" s="120" t="s">
        <v>946</v>
      </c>
      <c r="C85" s="121" t="s">
        <v>948</v>
      </c>
      <c r="D85" s="122" t="s">
        <v>951</v>
      </c>
      <c r="E85" s="123" t="s">
        <v>947</v>
      </c>
      <c r="F85" s="98" t="s">
        <v>1465</v>
      </c>
      <c r="G85" s="56" t="s">
        <v>1467</v>
      </c>
    </row>
    <row r="86" customFormat="false" ht="45.75" hidden="false" customHeight="true" outlineLevel="0" collapsed="false">
      <c r="A86" s="120" t="s">
        <v>2711</v>
      </c>
      <c r="B86" s="120" t="s">
        <v>955</v>
      </c>
      <c r="C86" s="121" t="s">
        <v>957</v>
      </c>
      <c r="D86" s="122" t="s">
        <v>960</v>
      </c>
      <c r="E86" s="123" t="s">
        <v>956</v>
      </c>
      <c r="F86" s="98" t="s">
        <v>1471</v>
      </c>
      <c r="G86" s="56" t="s">
        <v>1473</v>
      </c>
    </row>
    <row r="87" customFormat="false" ht="45.75" hidden="false" customHeight="true" outlineLevel="0" collapsed="false">
      <c r="A87" s="120" t="s">
        <v>2711</v>
      </c>
      <c r="B87" s="120" t="s">
        <v>964</v>
      </c>
      <c r="C87" s="121" t="s">
        <v>967</v>
      </c>
      <c r="D87" s="122" t="s">
        <v>970</v>
      </c>
      <c r="E87" s="123" t="s">
        <v>966</v>
      </c>
      <c r="F87" s="98" t="s">
        <v>1477</v>
      </c>
      <c r="G87" s="56" t="s">
        <v>1479</v>
      </c>
    </row>
    <row r="88" customFormat="false" ht="45.75" hidden="false" customHeight="true" outlineLevel="0" collapsed="false">
      <c r="A88" s="120" t="s">
        <v>2711</v>
      </c>
      <c r="B88" s="120" t="s">
        <v>974</v>
      </c>
      <c r="C88" s="121" t="s">
        <v>976</v>
      </c>
      <c r="D88" s="122" t="s">
        <v>979</v>
      </c>
      <c r="E88" s="123" t="s">
        <v>975</v>
      </c>
      <c r="F88" s="98" t="s">
        <v>1483</v>
      </c>
      <c r="G88" s="56" t="s">
        <v>1485</v>
      </c>
    </row>
  </sheetData>
  <mergeCells count="3">
    <mergeCell ref="A2:G2"/>
    <mergeCell ref="A3:G3"/>
    <mergeCell ref="A4:G4"/>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38"/>
    <col collapsed="false" customWidth="true" hidden="false" outlineLevel="0" max="4" min="4" style="1" width="12"/>
    <col collapsed="false" customWidth="true" hidden="false" outlineLevel="0" max="8" min="8" style="1" width="35"/>
  </cols>
  <sheetData>
    <row r="1" customFormat="false" ht="18" hidden="false" customHeight="true" outlineLevel="0" collapsed="false">
      <c r="A1" s="78" t="s">
        <v>56</v>
      </c>
      <c r="B1" s="2"/>
      <c r="C1" s="2"/>
      <c r="D1" s="2"/>
      <c r="E1" s="2"/>
      <c r="F1" s="2"/>
      <c r="G1" s="2"/>
      <c r="H1" s="2"/>
    </row>
    <row r="2" customFormat="false" ht="37.5" hidden="false" customHeight="true" outlineLevel="0" collapsed="false">
      <c r="A2" s="99" t="s">
        <v>3530</v>
      </c>
      <c r="B2" s="99"/>
      <c r="C2" s="99"/>
      <c r="D2" s="99"/>
      <c r="E2" s="99"/>
      <c r="F2" s="99"/>
      <c r="G2" s="99"/>
      <c r="H2" s="99"/>
    </row>
    <row r="3" customFormat="false" ht="21.75" hidden="false" customHeight="true" outlineLevel="0" collapsed="false">
      <c r="A3" s="124" t="s">
        <v>3531</v>
      </c>
      <c r="B3" s="125" t="s">
        <v>3532</v>
      </c>
      <c r="C3" s="124" t="s">
        <v>3533</v>
      </c>
      <c r="D3" s="125" t="s">
        <v>3534</v>
      </c>
    </row>
    <row r="4" customFormat="false" ht="21.75" hidden="false" customHeight="true" outlineLevel="0" collapsed="false">
      <c r="A4" s="124" t="s">
        <v>3535</v>
      </c>
      <c r="B4" s="125" t="s">
        <v>3532</v>
      </c>
      <c r="C4" s="124" t="s">
        <v>3536</v>
      </c>
      <c r="D4" s="125" t="s">
        <v>3534</v>
      </c>
    </row>
    <row r="5" customFormat="false" ht="21.75" hidden="false" customHeight="true" outlineLevel="0" collapsed="false">
      <c r="A5" s="124" t="s">
        <v>3537</v>
      </c>
      <c r="B5" s="125" t="s">
        <v>3532</v>
      </c>
      <c r="C5" s="124" t="s">
        <v>2906</v>
      </c>
      <c r="D5" s="125" t="s">
        <v>3538</v>
      </c>
    </row>
    <row r="6" customFormat="false" ht="21.75" hidden="false" customHeight="true" outlineLevel="0" collapsed="false">
      <c r="A6" s="124" t="s">
        <v>3539</v>
      </c>
      <c r="B6" s="125" t="s">
        <v>3540</v>
      </c>
      <c r="C6" s="124" t="s">
        <v>3541</v>
      </c>
      <c r="D6" s="125" t="s">
        <v>3542</v>
      </c>
    </row>
    <row r="7" customFormat="false" ht="27.75" hidden="false" customHeight="true" outlineLevel="0" collapsed="false">
      <c r="A7" s="126" t="s">
        <v>3543</v>
      </c>
      <c r="B7" s="126"/>
      <c r="C7" s="126"/>
      <c r="D7" s="126"/>
      <c r="E7" s="126"/>
      <c r="F7" s="126"/>
      <c r="G7" s="126"/>
      <c r="H7" s="126"/>
    </row>
    <row r="8" customFormat="false" ht="45" hidden="false" customHeight="true" outlineLevel="0" collapsed="false">
      <c r="A8" s="127" t="s">
        <v>3544</v>
      </c>
      <c r="B8" s="127" t="s">
        <v>3545</v>
      </c>
      <c r="C8" s="127" t="s">
        <v>3546</v>
      </c>
      <c r="D8" s="127" t="s">
        <v>3547</v>
      </c>
      <c r="E8" s="127" t="s">
        <v>3548</v>
      </c>
      <c r="F8" s="127" t="s">
        <v>3549</v>
      </c>
      <c r="G8" s="127" t="s">
        <v>3550</v>
      </c>
      <c r="H8" s="127" t="s">
        <v>3551</v>
      </c>
    </row>
    <row r="9" customFormat="false" ht="21.75" hidden="false" customHeight="true" outlineLevel="0" collapsed="false">
      <c r="A9" s="128" t="s">
        <v>3552</v>
      </c>
      <c r="B9" s="128"/>
      <c r="C9" s="128"/>
      <c r="D9" s="128"/>
      <c r="E9" s="128"/>
      <c r="F9" s="128"/>
      <c r="G9" s="128"/>
      <c r="H9" s="128"/>
    </row>
    <row r="10" customFormat="false" ht="49.5" hidden="false" customHeight="true" outlineLevel="0" collapsed="false">
      <c r="A10" s="129" t="n">
        <v>1</v>
      </c>
      <c r="B10" s="130" t="s">
        <v>3553</v>
      </c>
      <c r="C10" s="116" t="s">
        <v>3554</v>
      </c>
      <c r="D10" s="131"/>
      <c r="E10" s="132"/>
      <c r="F10" s="132"/>
      <c r="G10" s="133"/>
      <c r="H10" s="116"/>
    </row>
    <row r="11" customFormat="false" ht="49.5" hidden="false" customHeight="true" outlineLevel="0" collapsed="false">
      <c r="A11" s="129" t="n">
        <v>2</v>
      </c>
      <c r="B11" s="130" t="s">
        <v>3555</v>
      </c>
      <c r="C11" s="116" t="s">
        <v>3556</v>
      </c>
      <c r="D11" s="131"/>
      <c r="E11" s="132"/>
      <c r="F11" s="132"/>
      <c r="G11" s="133"/>
      <c r="H11" s="116"/>
    </row>
    <row r="12" customFormat="false" ht="49.5" hidden="false" customHeight="true" outlineLevel="0" collapsed="false">
      <c r="A12" s="129" t="n">
        <v>3</v>
      </c>
      <c r="B12" s="130" t="s">
        <v>3557</v>
      </c>
      <c r="C12" s="116" t="s">
        <v>3558</v>
      </c>
      <c r="D12" s="131"/>
      <c r="E12" s="132"/>
      <c r="F12" s="132"/>
      <c r="G12" s="133"/>
      <c r="H12" s="116"/>
    </row>
    <row r="13" customFormat="false" ht="49.5" hidden="false" customHeight="true" outlineLevel="0" collapsed="false">
      <c r="A13" s="129" t="n">
        <v>4</v>
      </c>
      <c r="B13" s="130" t="s">
        <v>3559</v>
      </c>
      <c r="C13" s="116" t="s">
        <v>3560</v>
      </c>
      <c r="D13" s="131"/>
      <c r="E13" s="132"/>
      <c r="F13" s="132"/>
      <c r="G13" s="133"/>
      <c r="H13" s="116"/>
    </row>
    <row r="14" customFormat="false" ht="49.5" hidden="false" customHeight="true" outlineLevel="0" collapsed="false">
      <c r="A14" s="129" t="n">
        <v>5</v>
      </c>
      <c r="B14" s="130" t="s">
        <v>3561</v>
      </c>
      <c r="C14" s="116" t="s">
        <v>3562</v>
      </c>
      <c r="D14" s="131"/>
      <c r="E14" s="132"/>
      <c r="F14" s="132"/>
      <c r="G14" s="133"/>
      <c r="H14" s="116"/>
    </row>
    <row r="15" customFormat="false" ht="21.75" hidden="false" customHeight="true" outlineLevel="0" collapsed="false">
      <c r="A15" s="128" t="s">
        <v>3563</v>
      </c>
      <c r="B15" s="128"/>
      <c r="C15" s="128"/>
      <c r="D15" s="128"/>
      <c r="E15" s="128"/>
      <c r="F15" s="128"/>
      <c r="G15" s="128"/>
      <c r="H15" s="128"/>
    </row>
    <row r="16" customFormat="false" ht="49.5" hidden="false" customHeight="true" outlineLevel="0" collapsed="false">
      <c r="A16" s="129" t="n">
        <v>6</v>
      </c>
      <c r="B16" s="134" t="s">
        <v>3564</v>
      </c>
      <c r="C16" s="116" t="s">
        <v>3565</v>
      </c>
      <c r="D16" s="131"/>
      <c r="E16" s="132"/>
      <c r="F16" s="132"/>
      <c r="G16" s="133"/>
      <c r="H16" s="116"/>
    </row>
    <row r="17" customFormat="false" ht="49.5" hidden="false" customHeight="true" outlineLevel="0" collapsed="false">
      <c r="A17" s="129" t="n">
        <v>7</v>
      </c>
      <c r="B17" s="134" t="s">
        <v>3566</v>
      </c>
      <c r="C17" s="116" t="s">
        <v>3567</v>
      </c>
      <c r="D17" s="131"/>
      <c r="E17" s="132"/>
      <c r="F17" s="132"/>
      <c r="G17" s="133"/>
      <c r="H17" s="116"/>
    </row>
    <row r="18" customFormat="false" ht="49.5" hidden="false" customHeight="true" outlineLevel="0" collapsed="false">
      <c r="A18" s="129" t="n">
        <v>8</v>
      </c>
      <c r="B18" s="134" t="s">
        <v>3568</v>
      </c>
      <c r="C18" s="116" t="s">
        <v>3569</v>
      </c>
      <c r="D18" s="131"/>
      <c r="E18" s="132"/>
      <c r="F18" s="132"/>
      <c r="G18" s="133"/>
      <c r="H18" s="116"/>
    </row>
    <row r="19" customFormat="false" ht="49.5" hidden="false" customHeight="true" outlineLevel="0" collapsed="false">
      <c r="A19" s="129" t="n">
        <v>9</v>
      </c>
      <c r="B19" s="134" t="s">
        <v>3570</v>
      </c>
      <c r="C19" s="116" t="s">
        <v>3571</v>
      </c>
      <c r="D19" s="131"/>
      <c r="E19" s="132"/>
      <c r="F19" s="132"/>
      <c r="G19" s="133"/>
      <c r="H19" s="116"/>
    </row>
    <row r="20" customFormat="false" ht="21.75" hidden="false" customHeight="true" outlineLevel="0" collapsed="false">
      <c r="A20" s="135" t="s">
        <v>3572</v>
      </c>
      <c r="B20" s="135"/>
      <c r="C20" s="135"/>
      <c r="D20" s="135"/>
      <c r="E20" s="135"/>
      <c r="F20" s="135"/>
      <c r="G20" s="135"/>
      <c r="H20" s="135"/>
    </row>
    <row r="21" customFormat="false" ht="49.5" hidden="false" customHeight="true" outlineLevel="0" collapsed="false">
      <c r="A21" s="129" t="n">
        <v>10</v>
      </c>
      <c r="B21" s="136" t="s">
        <v>3573</v>
      </c>
      <c r="C21" s="116" t="s">
        <v>3574</v>
      </c>
      <c r="D21" s="131"/>
      <c r="E21" s="132"/>
      <c r="F21" s="132"/>
      <c r="G21" s="133"/>
      <c r="H21" s="116"/>
    </row>
    <row r="22" customFormat="false" ht="49.5" hidden="false" customHeight="true" outlineLevel="0" collapsed="false">
      <c r="A22" s="129" t="n">
        <v>11</v>
      </c>
      <c r="B22" s="136" t="s">
        <v>3575</v>
      </c>
      <c r="C22" s="116" t="s">
        <v>3576</v>
      </c>
      <c r="D22" s="131"/>
      <c r="E22" s="132"/>
      <c r="F22" s="132"/>
      <c r="G22" s="133"/>
      <c r="H22" s="116"/>
    </row>
    <row r="23" customFormat="false" ht="49.5" hidden="false" customHeight="true" outlineLevel="0" collapsed="false">
      <c r="A23" s="129" t="n">
        <v>12</v>
      </c>
      <c r="B23" s="136" t="s">
        <v>3577</v>
      </c>
      <c r="C23" s="116" t="s">
        <v>3578</v>
      </c>
      <c r="D23" s="131"/>
      <c r="E23" s="132"/>
      <c r="F23" s="132"/>
      <c r="G23" s="133"/>
      <c r="H23" s="116"/>
    </row>
    <row r="24" customFormat="false" ht="21.75" hidden="false" customHeight="true" outlineLevel="0" collapsed="false">
      <c r="A24" s="135" t="s">
        <v>3579</v>
      </c>
      <c r="B24" s="135"/>
      <c r="C24" s="135"/>
      <c r="D24" s="135"/>
      <c r="E24" s="135"/>
      <c r="F24" s="135"/>
      <c r="G24" s="135"/>
      <c r="H24" s="135"/>
    </row>
    <row r="25" customFormat="false" ht="49.5" hidden="false" customHeight="true" outlineLevel="0" collapsed="false">
      <c r="A25" s="129" t="n">
        <v>13</v>
      </c>
      <c r="B25" s="137" t="s">
        <v>3580</v>
      </c>
      <c r="C25" s="116" t="s">
        <v>3581</v>
      </c>
      <c r="D25" s="131"/>
      <c r="E25" s="132"/>
      <c r="F25" s="132"/>
      <c r="G25" s="133"/>
      <c r="H25" s="116"/>
    </row>
    <row r="26" customFormat="false" ht="49.5" hidden="false" customHeight="true" outlineLevel="0" collapsed="false">
      <c r="A26" s="129" t="n">
        <v>14</v>
      </c>
      <c r="B26" s="137" t="s">
        <v>3582</v>
      </c>
      <c r="C26" s="116" t="s">
        <v>3583</v>
      </c>
      <c r="D26" s="131"/>
      <c r="E26" s="132"/>
      <c r="F26" s="132"/>
      <c r="G26" s="133"/>
      <c r="H26" s="116"/>
    </row>
    <row r="27" customFormat="false" ht="21.75" hidden="false" customHeight="true" outlineLevel="0" collapsed="false">
      <c r="A27" s="135" t="s">
        <v>3584</v>
      </c>
      <c r="B27" s="135"/>
      <c r="C27" s="135"/>
      <c r="D27" s="135"/>
      <c r="E27" s="135"/>
      <c r="F27" s="135"/>
      <c r="G27" s="135"/>
      <c r="H27" s="135"/>
    </row>
    <row r="28" customFormat="false" ht="49.5" hidden="false" customHeight="true" outlineLevel="0" collapsed="false">
      <c r="A28" s="129" t="n">
        <v>15</v>
      </c>
      <c r="B28" s="138" t="s">
        <v>3585</v>
      </c>
      <c r="C28" s="116" t="s">
        <v>3586</v>
      </c>
      <c r="D28" s="131"/>
      <c r="E28" s="132"/>
      <c r="F28" s="132"/>
      <c r="G28" s="133"/>
      <c r="H28" s="116"/>
    </row>
    <row r="29" customFormat="false" ht="49.5" hidden="false" customHeight="true" outlineLevel="0" collapsed="false">
      <c r="A29" s="129" t="n">
        <v>16</v>
      </c>
      <c r="B29" s="138" t="s">
        <v>3587</v>
      </c>
      <c r="C29" s="116" t="s">
        <v>3588</v>
      </c>
      <c r="D29" s="131"/>
      <c r="E29" s="132"/>
      <c r="F29" s="132"/>
      <c r="G29" s="133"/>
      <c r="H29" s="116"/>
    </row>
    <row r="30" customFormat="false" ht="49.5" hidden="false" customHeight="true" outlineLevel="0" collapsed="false">
      <c r="A30" s="129" t="n">
        <v>17</v>
      </c>
      <c r="B30" s="138" t="s">
        <v>3589</v>
      </c>
      <c r="C30" s="116" t="s">
        <v>3590</v>
      </c>
      <c r="D30" s="131"/>
      <c r="E30" s="132"/>
      <c r="F30" s="132"/>
      <c r="G30" s="133"/>
      <c r="H30" s="116"/>
    </row>
    <row r="31" customFormat="false" ht="21.75" hidden="false" customHeight="true" outlineLevel="0" collapsed="false">
      <c r="A31" s="135" t="s">
        <v>3591</v>
      </c>
      <c r="B31" s="135"/>
      <c r="C31" s="135"/>
      <c r="D31" s="135"/>
      <c r="E31" s="135"/>
      <c r="F31" s="135"/>
      <c r="G31" s="135"/>
      <c r="H31" s="135"/>
    </row>
    <row r="32" customFormat="false" ht="49.5" hidden="false" customHeight="true" outlineLevel="0" collapsed="false">
      <c r="A32" s="129" t="n">
        <v>18</v>
      </c>
      <c r="B32" s="139" t="s">
        <v>3592</v>
      </c>
      <c r="C32" s="116" t="s">
        <v>3593</v>
      </c>
      <c r="D32" s="131"/>
      <c r="E32" s="132"/>
      <c r="F32" s="132"/>
      <c r="G32" s="133"/>
      <c r="H32" s="116"/>
    </row>
    <row r="33" customFormat="false" ht="49.5" hidden="false" customHeight="true" outlineLevel="0" collapsed="false">
      <c r="A33" s="129" t="n">
        <v>19</v>
      </c>
      <c r="B33" s="139" t="s">
        <v>3594</v>
      </c>
      <c r="C33" s="116" t="s">
        <v>3595</v>
      </c>
      <c r="D33" s="131"/>
      <c r="E33" s="132"/>
      <c r="F33" s="132"/>
      <c r="G33" s="133"/>
      <c r="H33" s="116"/>
    </row>
    <row r="34" customFormat="false" ht="21.75" hidden="false" customHeight="true" outlineLevel="0" collapsed="false">
      <c r="A34" s="135" t="s">
        <v>3596</v>
      </c>
      <c r="B34" s="135"/>
      <c r="C34" s="135"/>
      <c r="D34" s="135"/>
      <c r="E34" s="135"/>
      <c r="F34" s="135"/>
      <c r="G34" s="135"/>
      <c r="H34" s="135"/>
    </row>
    <row r="35" customFormat="false" ht="49.5" hidden="false" customHeight="true" outlineLevel="0" collapsed="false">
      <c r="A35" s="129" t="n">
        <v>20</v>
      </c>
      <c r="B35" s="140" t="s">
        <v>3597</v>
      </c>
      <c r="C35" s="116" t="s">
        <v>3598</v>
      </c>
      <c r="D35" s="131"/>
      <c r="E35" s="132"/>
      <c r="F35" s="132"/>
      <c r="G35" s="133"/>
      <c r="H35" s="116"/>
    </row>
    <row r="36" customFormat="false" ht="49.5" hidden="false" customHeight="true" outlineLevel="0" collapsed="false">
      <c r="A36" s="129" t="n">
        <v>21</v>
      </c>
      <c r="B36" s="140" t="s">
        <v>3599</v>
      </c>
      <c r="C36" s="116" t="s">
        <v>3600</v>
      </c>
      <c r="D36" s="131"/>
      <c r="E36" s="132"/>
      <c r="F36" s="132"/>
      <c r="G36" s="133"/>
      <c r="H36" s="116"/>
    </row>
    <row r="37" customFormat="false" ht="24.75" hidden="false" customHeight="true" outlineLevel="0" collapsed="false">
      <c r="A37" s="141" t="s">
        <v>3601</v>
      </c>
      <c r="B37" s="141"/>
      <c r="C37" s="141"/>
      <c r="D37" s="141"/>
      <c r="E37" s="141"/>
      <c r="F37" s="141"/>
      <c r="G37" s="141"/>
      <c r="H37" s="141"/>
    </row>
    <row r="38" customFormat="false" ht="45" hidden="false" customHeight="true" outlineLevel="0" collapsed="false">
      <c r="A38" s="124" t="s">
        <v>3602</v>
      </c>
      <c r="B38" s="124"/>
      <c r="C38" s="124"/>
      <c r="D38" s="124"/>
      <c r="E38" s="142"/>
      <c r="F38" s="142"/>
      <c r="G38" s="142"/>
      <c r="H38" s="142"/>
    </row>
    <row r="39" customFormat="false" ht="45" hidden="false" customHeight="true" outlineLevel="0" collapsed="false">
      <c r="A39" s="124" t="s">
        <v>3603</v>
      </c>
      <c r="B39" s="124"/>
      <c r="C39" s="124"/>
      <c r="D39" s="124"/>
      <c r="E39" s="142"/>
      <c r="F39" s="142"/>
      <c r="G39" s="142"/>
      <c r="H39" s="142"/>
    </row>
    <row r="40" customFormat="false" ht="45" hidden="false" customHeight="true" outlineLevel="0" collapsed="false">
      <c r="A40" s="124" t="s">
        <v>3604</v>
      </c>
      <c r="B40" s="124"/>
      <c r="C40" s="124"/>
      <c r="D40" s="124"/>
      <c r="E40" s="142"/>
      <c r="F40" s="142"/>
      <c r="G40" s="142"/>
      <c r="H40" s="142"/>
    </row>
    <row r="41" customFormat="false" ht="45" hidden="false" customHeight="true" outlineLevel="0" collapsed="false">
      <c r="A41" s="124" t="s">
        <v>3605</v>
      </c>
      <c r="B41" s="124"/>
      <c r="C41" s="124"/>
      <c r="D41" s="124"/>
      <c r="E41" s="142" t="s">
        <v>3606</v>
      </c>
      <c r="F41" s="142"/>
      <c r="G41" s="142"/>
      <c r="H41" s="142"/>
    </row>
  </sheetData>
  <mergeCells count="18">
    <mergeCell ref="A2:H2"/>
    <mergeCell ref="A7:H7"/>
    <mergeCell ref="A9:H9"/>
    <mergeCell ref="A15:H15"/>
    <mergeCell ref="A20:H20"/>
    <mergeCell ref="A24:H24"/>
    <mergeCell ref="A27:H27"/>
    <mergeCell ref="A31:H31"/>
    <mergeCell ref="A34:H34"/>
    <mergeCell ref="A37:H37"/>
    <mergeCell ref="A38:D38"/>
    <mergeCell ref="E38:H38"/>
    <mergeCell ref="A39:D39"/>
    <mergeCell ref="E39:H39"/>
    <mergeCell ref="A40:D40"/>
    <mergeCell ref="E40:H40"/>
    <mergeCell ref="A41:D41"/>
    <mergeCell ref="E41:H41"/>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12"/>
    <col collapsed="false" customWidth="true" hidden="false" outlineLevel="0" max="4" min="4" style="1" width="16"/>
    <col collapsed="false" customWidth="true" hidden="false" outlineLevel="0" max="5" min="5" style="1" width="28"/>
    <col collapsed="false" customWidth="true" hidden="false" outlineLevel="0" max="6" min="6" style="1" width="14"/>
    <col collapsed="false" customWidth="true" hidden="false" outlineLevel="0" max="8" min="7" style="1" width="30"/>
    <col collapsed="false" customWidth="true" hidden="false" outlineLevel="0" max="9" min="9" style="1" width="16"/>
    <col collapsed="false" customWidth="true" hidden="false" outlineLevel="0" max="10" min="10" style="1" width="22"/>
  </cols>
  <sheetData>
    <row r="1" customFormat="false" ht="15" hidden="false" customHeight="true" outlineLevel="0" collapsed="false">
      <c r="A1" s="78" t="s">
        <v>56</v>
      </c>
    </row>
    <row r="2" customFormat="false" ht="15.75" hidden="false" customHeight="true" outlineLevel="0" collapsed="false">
      <c r="A2" s="111" t="s">
        <v>3607</v>
      </c>
      <c r="B2" s="111"/>
      <c r="C2" s="111"/>
      <c r="D2" s="111"/>
      <c r="E2" s="111"/>
      <c r="F2" s="111"/>
      <c r="G2" s="111"/>
      <c r="H2" s="111"/>
      <c r="I2" s="111"/>
      <c r="J2" s="111"/>
    </row>
    <row r="3" customFormat="false" ht="27.75" hidden="false" customHeight="true" outlineLevel="0" collapsed="false">
      <c r="A3" s="112" t="s">
        <v>3608</v>
      </c>
      <c r="B3" s="112"/>
      <c r="C3" s="112"/>
      <c r="D3" s="112"/>
      <c r="E3" s="112"/>
      <c r="F3" s="112"/>
      <c r="G3" s="112"/>
      <c r="H3" s="112"/>
      <c r="I3" s="112"/>
      <c r="J3" s="112"/>
    </row>
    <row r="4" customFormat="false" ht="18" hidden="false" customHeight="true" outlineLevel="0" collapsed="false">
      <c r="A4" s="143" t="s">
        <v>3609</v>
      </c>
      <c r="B4" s="143"/>
      <c r="C4" s="143"/>
      <c r="D4" s="143"/>
      <c r="E4" s="143"/>
      <c r="F4" s="143"/>
      <c r="G4" s="143"/>
      <c r="H4" s="143"/>
      <c r="I4" s="143"/>
      <c r="J4" s="143"/>
    </row>
    <row r="6" customFormat="false" ht="21.75" hidden="false" customHeight="true" outlineLevel="0" collapsed="false">
      <c r="A6" s="55" t="s">
        <v>3610</v>
      </c>
      <c r="B6" s="55" t="s">
        <v>3611</v>
      </c>
      <c r="C6" s="55" t="s">
        <v>3612</v>
      </c>
      <c r="D6" s="55" t="s">
        <v>3613</v>
      </c>
      <c r="E6" s="55" t="s">
        <v>3614</v>
      </c>
      <c r="F6" s="55" t="s">
        <v>3522</v>
      </c>
      <c r="G6" s="55" t="s">
        <v>3615</v>
      </c>
      <c r="H6" s="55" t="s">
        <v>3616</v>
      </c>
      <c r="I6" s="55" t="s">
        <v>3617</v>
      </c>
      <c r="J6" s="55" t="s">
        <v>3618</v>
      </c>
    </row>
    <row r="7" customFormat="false" ht="21.75" hidden="false" customHeight="true" outlineLevel="0" collapsed="false">
      <c r="A7" s="144"/>
      <c r="B7" s="144"/>
      <c r="C7" s="144"/>
      <c r="D7" s="144"/>
      <c r="E7" s="144"/>
      <c r="F7" s="144"/>
      <c r="G7" s="144"/>
      <c r="H7" s="144"/>
      <c r="I7" s="144"/>
      <c r="J7" s="144"/>
    </row>
    <row r="8" customFormat="false" ht="21.75" hidden="false" customHeight="true" outlineLevel="0" collapsed="false">
      <c r="A8" s="144"/>
      <c r="B8" s="144"/>
      <c r="C8" s="144"/>
      <c r="D8" s="144"/>
      <c r="E8" s="144"/>
      <c r="F8" s="144"/>
      <c r="G8" s="144"/>
      <c r="H8" s="144"/>
      <c r="I8" s="144"/>
      <c r="J8" s="144"/>
    </row>
    <row r="9" customFormat="false" ht="21.75" hidden="false" customHeight="true" outlineLevel="0" collapsed="false">
      <c r="A9" s="144"/>
      <c r="B9" s="144"/>
      <c r="C9" s="144"/>
      <c r="D9" s="144"/>
      <c r="E9" s="144"/>
      <c r="F9" s="144"/>
      <c r="G9" s="144"/>
      <c r="H9" s="144"/>
      <c r="I9" s="144"/>
      <c r="J9" s="144"/>
    </row>
    <row r="10" customFormat="false" ht="21.75" hidden="false" customHeight="true" outlineLevel="0" collapsed="false">
      <c r="A10" s="144"/>
      <c r="B10" s="144"/>
      <c r="C10" s="144"/>
      <c r="D10" s="144"/>
      <c r="E10" s="144"/>
      <c r="F10" s="144"/>
      <c r="G10" s="144"/>
      <c r="H10" s="144"/>
      <c r="I10" s="144"/>
      <c r="J10" s="144"/>
    </row>
    <row r="11" customFormat="false" ht="21.75" hidden="false" customHeight="true" outlineLevel="0" collapsed="false">
      <c r="A11" s="144"/>
      <c r="B11" s="144"/>
      <c r="C11" s="144"/>
      <c r="D11" s="144"/>
      <c r="E11" s="144"/>
      <c r="F11" s="144"/>
      <c r="G11" s="144"/>
      <c r="H11" s="144"/>
      <c r="I11" s="144"/>
      <c r="J11" s="144"/>
    </row>
    <row r="12" customFormat="false" ht="21.75" hidden="false" customHeight="true" outlineLevel="0" collapsed="false">
      <c r="A12" s="144"/>
      <c r="B12" s="144"/>
      <c r="C12" s="144"/>
      <c r="D12" s="144"/>
      <c r="E12" s="144"/>
      <c r="F12" s="144"/>
      <c r="G12" s="144"/>
      <c r="H12" s="144"/>
      <c r="I12" s="144"/>
      <c r="J12" s="144"/>
    </row>
    <row r="13" customFormat="false" ht="21.75" hidden="false" customHeight="true" outlineLevel="0" collapsed="false">
      <c r="A13" s="144"/>
      <c r="B13" s="144"/>
      <c r="C13" s="144"/>
      <c r="D13" s="144"/>
      <c r="E13" s="144"/>
      <c r="F13" s="144"/>
      <c r="G13" s="144"/>
      <c r="H13" s="144"/>
      <c r="I13" s="144"/>
      <c r="J13" s="144"/>
    </row>
    <row r="14" customFormat="false" ht="21.75" hidden="false" customHeight="true" outlineLevel="0" collapsed="false">
      <c r="A14" s="144"/>
      <c r="B14" s="144"/>
      <c r="C14" s="144"/>
      <c r="D14" s="144"/>
      <c r="E14" s="144"/>
      <c r="F14" s="144"/>
      <c r="G14" s="144"/>
      <c r="H14" s="144"/>
      <c r="I14" s="144"/>
      <c r="J14" s="144"/>
    </row>
    <row r="15" customFormat="false" ht="21.75" hidden="false" customHeight="true" outlineLevel="0" collapsed="false">
      <c r="A15" s="144"/>
      <c r="B15" s="144"/>
      <c r="C15" s="144"/>
      <c r="D15" s="144"/>
      <c r="E15" s="144"/>
      <c r="F15" s="144"/>
      <c r="G15" s="144"/>
      <c r="H15" s="144"/>
      <c r="I15" s="144"/>
      <c r="J15" s="144"/>
    </row>
    <row r="16" customFormat="false" ht="21.75" hidden="false" customHeight="true" outlineLevel="0" collapsed="false">
      <c r="A16" s="144"/>
      <c r="B16" s="144"/>
      <c r="C16" s="144"/>
      <c r="D16" s="144"/>
      <c r="E16" s="144"/>
      <c r="F16" s="144"/>
      <c r="G16" s="144"/>
      <c r="H16" s="144"/>
      <c r="I16" s="144"/>
      <c r="J16" s="144"/>
    </row>
    <row r="17" customFormat="false" ht="21.75" hidden="false" customHeight="true" outlineLevel="0" collapsed="false">
      <c r="A17" s="144"/>
      <c r="B17" s="144"/>
      <c r="C17" s="144"/>
      <c r="D17" s="144"/>
      <c r="E17" s="144"/>
      <c r="F17" s="144"/>
      <c r="G17" s="144"/>
      <c r="H17" s="144"/>
      <c r="I17" s="144"/>
      <c r="J17" s="144"/>
    </row>
    <row r="18" customFormat="false" ht="21.75" hidden="false" customHeight="true" outlineLevel="0" collapsed="false">
      <c r="A18" s="144"/>
      <c r="B18" s="144"/>
      <c r="C18" s="144"/>
      <c r="D18" s="144"/>
      <c r="E18" s="144"/>
      <c r="F18" s="144"/>
      <c r="G18" s="144"/>
      <c r="H18" s="144"/>
      <c r="I18" s="144"/>
      <c r="J18" s="144"/>
    </row>
    <row r="19" customFormat="false" ht="21.75" hidden="false" customHeight="true" outlineLevel="0" collapsed="false">
      <c r="A19" s="144"/>
      <c r="B19" s="144"/>
      <c r="C19" s="144"/>
      <c r="D19" s="144"/>
      <c r="E19" s="144"/>
      <c r="F19" s="144"/>
      <c r="G19" s="144"/>
      <c r="H19" s="144"/>
      <c r="I19" s="144"/>
      <c r="J19" s="144"/>
    </row>
    <row r="20" customFormat="false" ht="21.75" hidden="false" customHeight="true" outlineLevel="0" collapsed="false">
      <c r="A20" s="144"/>
      <c r="B20" s="144"/>
      <c r="C20" s="144"/>
      <c r="D20" s="144"/>
      <c r="E20" s="144"/>
      <c r="F20" s="144"/>
      <c r="G20" s="144"/>
      <c r="H20" s="144"/>
      <c r="I20" s="144"/>
      <c r="J20" s="144"/>
    </row>
    <row r="21" customFormat="false" ht="21.75" hidden="false" customHeight="true" outlineLevel="0" collapsed="false">
      <c r="A21" s="144"/>
      <c r="B21" s="144"/>
      <c r="C21" s="144"/>
      <c r="D21" s="144"/>
      <c r="E21" s="144"/>
      <c r="F21" s="144"/>
      <c r="G21" s="144"/>
      <c r="H21" s="144"/>
      <c r="I21" s="144"/>
      <c r="J21" s="144"/>
    </row>
    <row r="22" customFormat="false" ht="21.75" hidden="false" customHeight="true" outlineLevel="0" collapsed="false">
      <c r="A22" s="144"/>
      <c r="B22" s="144"/>
      <c r="C22" s="144"/>
      <c r="D22" s="144"/>
      <c r="E22" s="144"/>
      <c r="F22" s="144"/>
      <c r="G22" s="144"/>
      <c r="H22" s="144"/>
      <c r="I22" s="144"/>
      <c r="J22" s="144"/>
    </row>
    <row r="23" customFormat="false" ht="21.75" hidden="false" customHeight="true" outlineLevel="0" collapsed="false">
      <c r="A23" s="144"/>
      <c r="B23" s="144"/>
      <c r="C23" s="144"/>
      <c r="D23" s="144"/>
      <c r="E23" s="144"/>
      <c r="F23" s="144"/>
      <c r="G23" s="144"/>
      <c r="H23" s="144"/>
      <c r="I23" s="144"/>
      <c r="J23" s="144"/>
    </row>
    <row r="24" customFormat="false" ht="21.75" hidden="false" customHeight="true" outlineLevel="0" collapsed="false">
      <c r="A24" s="144"/>
      <c r="B24" s="144"/>
      <c r="C24" s="144"/>
      <c r="D24" s="144"/>
      <c r="E24" s="144"/>
      <c r="F24" s="144"/>
      <c r="G24" s="144"/>
      <c r="H24" s="144"/>
      <c r="I24" s="144"/>
      <c r="J24" s="144"/>
    </row>
    <row r="25" customFormat="false" ht="21.75" hidden="false" customHeight="true" outlineLevel="0" collapsed="false">
      <c r="A25" s="144"/>
      <c r="B25" s="144"/>
      <c r="C25" s="144"/>
      <c r="D25" s="144"/>
      <c r="E25" s="144"/>
      <c r="F25" s="144"/>
      <c r="G25" s="144"/>
      <c r="H25" s="144"/>
      <c r="I25" s="144"/>
      <c r="J25" s="144"/>
    </row>
    <row r="26" customFormat="false" ht="21.75" hidden="false" customHeight="true" outlineLevel="0" collapsed="false">
      <c r="A26" s="144"/>
      <c r="B26" s="144"/>
      <c r="C26" s="144"/>
      <c r="D26" s="144"/>
      <c r="E26" s="144"/>
      <c r="F26" s="144"/>
      <c r="G26" s="144"/>
      <c r="H26" s="144"/>
      <c r="I26" s="144"/>
      <c r="J26" s="144"/>
    </row>
    <row r="27" customFormat="false" ht="21.75" hidden="false" customHeight="true" outlineLevel="0" collapsed="false">
      <c r="A27" s="144"/>
      <c r="B27" s="144"/>
      <c r="C27" s="144"/>
      <c r="D27" s="144"/>
      <c r="E27" s="144"/>
      <c r="F27" s="144"/>
      <c r="G27" s="144"/>
      <c r="H27" s="144"/>
      <c r="I27" s="144"/>
      <c r="J27" s="144"/>
    </row>
    <row r="28" customFormat="false" ht="21.75" hidden="false" customHeight="true" outlineLevel="0" collapsed="false">
      <c r="A28" s="144"/>
      <c r="B28" s="144"/>
      <c r="C28" s="144"/>
      <c r="D28" s="144"/>
      <c r="E28" s="144"/>
      <c r="F28" s="144"/>
      <c r="G28" s="144"/>
      <c r="H28" s="144"/>
      <c r="I28" s="144"/>
      <c r="J28" s="144"/>
    </row>
    <row r="29" customFormat="false" ht="21.75" hidden="false" customHeight="true" outlineLevel="0" collapsed="false">
      <c r="A29" s="144"/>
      <c r="B29" s="144"/>
      <c r="C29" s="144"/>
      <c r="D29" s="144"/>
      <c r="E29" s="144"/>
      <c r="F29" s="144"/>
      <c r="G29" s="144"/>
      <c r="H29" s="144"/>
      <c r="I29" s="144"/>
      <c r="J29" s="144"/>
    </row>
    <row r="30" customFormat="false" ht="21.75" hidden="false" customHeight="true" outlineLevel="0" collapsed="false">
      <c r="A30" s="144"/>
      <c r="B30" s="144"/>
      <c r="C30" s="144"/>
      <c r="D30" s="144"/>
      <c r="E30" s="144"/>
      <c r="F30" s="144"/>
      <c r="G30" s="144"/>
      <c r="H30" s="144"/>
      <c r="I30" s="144"/>
      <c r="J30" s="144"/>
    </row>
    <row r="31" customFormat="false" ht="21.75" hidden="false" customHeight="true" outlineLevel="0" collapsed="false">
      <c r="A31" s="144"/>
      <c r="B31" s="144"/>
      <c r="C31" s="144"/>
      <c r="D31" s="144"/>
      <c r="E31" s="144"/>
      <c r="F31" s="144"/>
      <c r="G31" s="144"/>
      <c r="H31" s="144"/>
      <c r="I31" s="144"/>
      <c r="J31" s="144"/>
    </row>
    <row r="32" customFormat="false" ht="21.75" hidden="false" customHeight="true" outlineLevel="0" collapsed="false">
      <c r="A32" s="144"/>
      <c r="B32" s="144"/>
      <c r="C32" s="144"/>
      <c r="D32" s="144"/>
      <c r="E32" s="144"/>
      <c r="F32" s="144"/>
      <c r="G32" s="144"/>
      <c r="H32" s="144"/>
      <c r="I32" s="144"/>
      <c r="J32" s="144"/>
    </row>
    <row r="33" customFormat="false" ht="21.75" hidden="false" customHeight="true" outlineLevel="0" collapsed="false">
      <c r="A33" s="144"/>
      <c r="B33" s="144"/>
      <c r="C33" s="144"/>
      <c r="D33" s="144"/>
      <c r="E33" s="144"/>
      <c r="F33" s="144"/>
      <c r="G33" s="144"/>
      <c r="H33" s="144"/>
      <c r="I33" s="144"/>
      <c r="J33" s="144"/>
    </row>
    <row r="34" customFormat="false" ht="21.75" hidden="false" customHeight="true" outlineLevel="0" collapsed="false">
      <c r="A34" s="144"/>
      <c r="B34" s="144"/>
      <c r="C34" s="144"/>
      <c r="D34" s="144"/>
      <c r="E34" s="144"/>
      <c r="F34" s="144"/>
      <c r="G34" s="144"/>
      <c r="H34" s="144"/>
      <c r="I34" s="144"/>
      <c r="J34" s="144"/>
    </row>
    <row r="35" customFormat="false" ht="21.75" hidden="false" customHeight="true" outlineLevel="0" collapsed="false">
      <c r="A35" s="144"/>
      <c r="B35" s="144"/>
      <c r="C35" s="144"/>
      <c r="D35" s="144"/>
      <c r="E35" s="144"/>
      <c r="F35" s="144"/>
      <c r="G35" s="144"/>
      <c r="H35" s="144"/>
      <c r="I35" s="144"/>
      <c r="J35" s="144"/>
    </row>
    <row r="36" customFormat="false" ht="21.75" hidden="false" customHeight="true" outlineLevel="0" collapsed="false">
      <c r="A36" s="144"/>
      <c r="B36" s="144"/>
      <c r="C36" s="144"/>
      <c r="D36" s="144"/>
      <c r="E36" s="144"/>
      <c r="F36" s="144"/>
      <c r="G36" s="144"/>
      <c r="H36" s="144"/>
      <c r="I36" s="144"/>
      <c r="J36" s="144"/>
    </row>
  </sheetData>
  <mergeCells count="3">
    <mergeCell ref="A2:J2"/>
    <mergeCell ref="A3:J3"/>
    <mergeCell ref="A4:J4"/>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U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0"/>
    <col collapsed="false" customWidth="true" hidden="false" outlineLevel="0" max="17" min="17" style="1" width="20"/>
    <col collapsed="false" customWidth="true" hidden="false" outlineLevel="0" max="18" min="18" style="1" width="25"/>
    <col collapsed="false" customWidth="true" hidden="false" outlineLevel="0" max="19" min="19" style="1" width="12"/>
    <col collapsed="false" customWidth="true" hidden="false" outlineLevel="0" max="20" min="20" style="1" width="30"/>
    <col collapsed="false" customWidth="true" hidden="true" outlineLevel="0" max="21" min="21" style="1" width="10"/>
  </cols>
  <sheetData>
    <row r="1" customFormat="false" ht="18" hidden="false" customHeight="true" outlineLevel="0" collapsed="false">
      <c r="A1" s="78" t="s">
        <v>56</v>
      </c>
      <c r="B1" s="2"/>
      <c r="C1" s="2"/>
      <c r="D1" s="2"/>
      <c r="E1" s="2"/>
      <c r="F1" s="2"/>
      <c r="G1" s="2"/>
      <c r="H1" s="2"/>
      <c r="I1" s="2"/>
      <c r="J1" s="2"/>
      <c r="K1" s="2"/>
      <c r="L1" s="2"/>
      <c r="M1" s="2"/>
      <c r="N1" s="2"/>
      <c r="O1" s="2"/>
      <c r="P1" s="2"/>
      <c r="Q1" s="2"/>
      <c r="R1" s="2"/>
      <c r="S1" s="2"/>
    </row>
    <row r="2" customFormat="false" ht="34.5" hidden="false" customHeight="true" outlineLevel="0" collapsed="false">
      <c r="A2" s="111" t="s">
        <v>3619</v>
      </c>
      <c r="B2" s="111"/>
      <c r="C2" s="111"/>
      <c r="D2" s="111"/>
      <c r="E2" s="111"/>
      <c r="F2" s="111"/>
      <c r="G2" s="111"/>
      <c r="H2" s="111"/>
      <c r="I2" s="111"/>
      <c r="J2" s="111"/>
      <c r="K2" s="111"/>
      <c r="L2" s="111"/>
      <c r="M2" s="111"/>
      <c r="N2" s="111"/>
      <c r="O2" s="111"/>
      <c r="P2" s="111"/>
      <c r="Q2" s="111"/>
      <c r="R2" s="111"/>
      <c r="S2" s="111"/>
      <c r="T2" s="111"/>
    </row>
    <row r="3" customFormat="false" ht="15" hidden="false" customHeight="true" outlineLevel="0" collapsed="false">
      <c r="A3" s="118" t="s">
        <v>3620</v>
      </c>
      <c r="B3" s="118"/>
      <c r="C3" s="118"/>
      <c r="D3" s="118"/>
      <c r="E3" s="118"/>
      <c r="F3" s="118"/>
      <c r="G3" s="118"/>
      <c r="H3" s="118"/>
      <c r="I3" s="118"/>
      <c r="J3" s="118"/>
      <c r="K3" s="118"/>
      <c r="L3" s="118"/>
      <c r="M3" s="118"/>
      <c r="N3" s="118"/>
      <c r="O3" s="118"/>
      <c r="P3" s="118"/>
      <c r="Q3" s="118"/>
      <c r="R3" s="118"/>
      <c r="S3" s="118"/>
      <c r="T3" s="118"/>
    </row>
    <row r="4" customFormat="false" ht="49.5" hidden="false" customHeight="true" outlineLevel="0" collapsed="false">
      <c r="A4" s="145" t="s">
        <v>3544</v>
      </c>
      <c r="B4" s="145" t="s">
        <v>3621</v>
      </c>
      <c r="C4" s="145" t="s">
        <v>3622</v>
      </c>
      <c r="D4" s="145" t="s">
        <v>3623</v>
      </c>
      <c r="E4" s="145" t="s">
        <v>3624</v>
      </c>
      <c r="F4" s="145" t="s">
        <v>3625</v>
      </c>
      <c r="G4" s="145" t="s">
        <v>3626</v>
      </c>
      <c r="H4" s="145" t="s">
        <v>3627</v>
      </c>
      <c r="I4" s="145" t="s">
        <v>3628</v>
      </c>
      <c r="J4" s="145" t="s">
        <v>3629</v>
      </c>
      <c r="K4" s="145" t="s">
        <v>3630</v>
      </c>
      <c r="L4" s="145" t="s">
        <v>3631</v>
      </c>
      <c r="M4" s="145" t="s">
        <v>3632</v>
      </c>
      <c r="N4" s="145" t="s">
        <v>3633</v>
      </c>
      <c r="O4" s="145" t="s">
        <v>3634</v>
      </c>
      <c r="P4" s="145" t="s">
        <v>3635</v>
      </c>
      <c r="Q4" s="145" t="s">
        <v>3636</v>
      </c>
      <c r="R4" s="145" t="s">
        <v>3637</v>
      </c>
      <c r="S4" s="55" t="s">
        <v>3638</v>
      </c>
      <c r="T4" s="55" t="s">
        <v>3639</v>
      </c>
      <c r="U4" s="146" t="s">
        <v>3640</v>
      </c>
    </row>
    <row r="5" customFormat="false" ht="27.75" hidden="false" customHeight="true" outlineLevel="0" collapsed="false">
      <c r="A5" s="147" t="n">
        <v>1</v>
      </c>
      <c r="B5" s="148"/>
      <c r="C5" s="149"/>
      <c r="D5" s="149"/>
      <c r="E5" s="149"/>
      <c r="F5" s="149"/>
      <c r="G5" s="149"/>
      <c r="H5" s="149"/>
      <c r="I5" s="149"/>
      <c r="J5" s="149"/>
      <c r="K5" s="149"/>
      <c r="L5" s="149"/>
      <c r="M5" s="149"/>
      <c r="N5" s="149"/>
      <c r="O5" s="149"/>
      <c r="P5" s="149"/>
      <c r="Q5" s="149"/>
      <c r="R5" s="149"/>
      <c r="S5" s="150" t="n">
        <f aca="false">COUNTA(C5:P5)-COUNTIF(C5:P5,"X")</f>
        <v>0</v>
      </c>
      <c r="T5" s="151"/>
      <c r="U5" s="152" t="str">
        <f aca="false">IF(AND(B5&lt;&gt;"",OR(COUNTIF(C5:P5,"X")&gt;0,S5=0)),ROW()-4,"")</f>
        <v/>
      </c>
    </row>
    <row r="6" customFormat="false" ht="27.75" hidden="false" customHeight="true" outlineLevel="0" collapsed="false">
      <c r="A6" s="153" t="n">
        <v>2</v>
      </c>
      <c r="B6" s="154"/>
      <c r="C6" s="155"/>
      <c r="D6" s="155"/>
      <c r="E6" s="155"/>
      <c r="F6" s="155"/>
      <c r="G6" s="155"/>
      <c r="H6" s="155"/>
      <c r="I6" s="155"/>
      <c r="J6" s="155"/>
      <c r="K6" s="155"/>
      <c r="L6" s="155"/>
      <c r="M6" s="155"/>
      <c r="N6" s="155"/>
      <c r="O6" s="155"/>
      <c r="P6" s="155"/>
      <c r="Q6" s="155"/>
      <c r="R6" s="155"/>
      <c r="S6" s="150" t="n">
        <f aca="false">COUNTA(C6:P6)-COUNTIF(C6:P6,"X")</f>
        <v>0</v>
      </c>
      <c r="T6" s="151"/>
      <c r="U6" s="152" t="str">
        <f aca="false">IF(AND(B6&lt;&gt;"",OR(COUNTIF(C6:P6,"X")&gt;0,S6=0)),ROW()-4,"")</f>
        <v/>
      </c>
    </row>
    <row r="7" customFormat="false" ht="27.75" hidden="false" customHeight="true" outlineLevel="0" collapsed="false">
      <c r="A7" s="147" t="n">
        <v>3</v>
      </c>
      <c r="B7" s="148"/>
      <c r="C7" s="149"/>
      <c r="D7" s="149"/>
      <c r="E7" s="149"/>
      <c r="F7" s="149"/>
      <c r="G7" s="149"/>
      <c r="H7" s="149"/>
      <c r="I7" s="149"/>
      <c r="J7" s="149"/>
      <c r="K7" s="149"/>
      <c r="L7" s="149"/>
      <c r="M7" s="149"/>
      <c r="N7" s="149"/>
      <c r="O7" s="149"/>
      <c r="P7" s="149"/>
      <c r="Q7" s="149"/>
      <c r="R7" s="149"/>
      <c r="S7" s="150" t="n">
        <f aca="false">COUNTA(C7:P7)-COUNTIF(C7:P7,"X")</f>
        <v>0</v>
      </c>
      <c r="T7" s="151"/>
      <c r="U7" s="152" t="str">
        <f aca="false">IF(AND(B7&lt;&gt;"",OR(COUNTIF(C7:P7,"X")&gt;0,S7=0)),ROW()-4,"")</f>
        <v/>
      </c>
    </row>
    <row r="8" customFormat="false" ht="27.75" hidden="false" customHeight="true" outlineLevel="0" collapsed="false">
      <c r="A8" s="153" t="n">
        <v>4</v>
      </c>
      <c r="B8" s="154"/>
      <c r="C8" s="155"/>
      <c r="D8" s="155"/>
      <c r="E8" s="155"/>
      <c r="F8" s="155"/>
      <c r="G8" s="155"/>
      <c r="H8" s="155"/>
      <c r="I8" s="155"/>
      <c r="J8" s="155"/>
      <c r="K8" s="155"/>
      <c r="L8" s="155"/>
      <c r="M8" s="155"/>
      <c r="N8" s="155"/>
      <c r="O8" s="155"/>
      <c r="P8" s="155"/>
      <c r="Q8" s="155"/>
      <c r="R8" s="155"/>
      <c r="S8" s="150" t="n">
        <f aca="false">COUNTA(C8:P8)-COUNTIF(C8:P8,"X")</f>
        <v>0</v>
      </c>
      <c r="T8" s="151"/>
      <c r="U8" s="152" t="str">
        <f aca="false">IF(AND(B8&lt;&gt;"",OR(COUNTIF(C8:P8,"X")&gt;0,S8=0)),ROW()-4,"")</f>
        <v/>
      </c>
    </row>
    <row r="9" customFormat="false" ht="27.75" hidden="false" customHeight="true" outlineLevel="0" collapsed="false">
      <c r="A9" s="147" t="n">
        <v>5</v>
      </c>
      <c r="B9" s="148"/>
      <c r="C9" s="149"/>
      <c r="D9" s="149"/>
      <c r="E9" s="149"/>
      <c r="F9" s="149"/>
      <c r="G9" s="149"/>
      <c r="H9" s="149"/>
      <c r="I9" s="149"/>
      <c r="J9" s="149"/>
      <c r="K9" s="149"/>
      <c r="L9" s="149"/>
      <c r="M9" s="149"/>
      <c r="N9" s="149"/>
      <c r="O9" s="149"/>
      <c r="P9" s="149"/>
      <c r="Q9" s="149"/>
      <c r="R9" s="149"/>
      <c r="S9" s="150" t="n">
        <f aca="false">COUNTA(C9:P9)-COUNTIF(C9:P9,"X")</f>
        <v>0</v>
      </c>
      <c r="T9" s="151"/>
      <c r="U9" s="152" t="str">
        <f aca="false">IF(AND(B9&lt;&gt;"",OR(COUNTIF(C9:P9,"X")&gt;0,S9=0)),ROW()-4,"")</f>
        <v/>
      </c>
    </row>
    <row r="10" customFormat="false" ht="27.75" hidden="false" customHeight="true" outlineLevel="0" collapsed="false">
      <c r="A10" s="153" t="n">
        <v>6</v>
      </c>
      <c r="B10" s="154"/>
      <c r="C10" s="155"/>
      <c r="D10" s="155"/>
      <c r="E10" s="155"/>
      <c r="F10" s="155"/>
      <c r="G10" s="155"/>
      <c r="H10" s="155"/>
      <c r="I10" s="155"/>
      <c r="J10" s="155"/>
      <c r="K10" s="155"/>
      <c r="L10" s="155"/>
      <c r="M10" s="155"/>
      <c r="N10" s="155"/>
      <c r="O10" s="155"/>
      <c r="P10" s="155"/>
      <c r="Q10" s="155"/>
      <c r="R10" s="155"/>
      <c r="S10" s="150" t="n">
        <f aca="false">COUNTA(C10:P10)-COUNTIF(C10:P10,"X")</f>
        <v>0</v>
      </c>
      <c r="T10" s="151"/>
      <c r="U10" s="152" t="str">
        <f aca="false">IF(AND(B10&lt;&gt;"",OR(COUNTIF(C10:P10,"X")&gt;0,S10=0)),ROW()-4,"")</f>
        <v/>
      </c>
    </row>
    <row r="11" customFormat="false" ht="27.75" hidden="false" customHeight="true" outlineLevel="0" collapsed="false">
      <c r="A11" s="147" t="n">
        <v>7</v>
      </c>
      <c r="B11" s="148"/>
      <c r="C11" s="149"/>
      <c r="D11" s="149"/>
      <c r="E11" s="149"/>
      <c r="F11" s="149"/>
      <c r="G11" s="149"/>
      <c r="H11" s="149"/>
      <c r="I11" s="149"/>
      <c r="J11" s="149"/>
      <c r="K11" s="149"/>
      <c r="L11" s="149"/>
      <c r="M11" s="149"/>
      <c r="N11" s="149"/>
      <c r="O11" s="149"/>
      <c r="P11" s="149"/>
      <c r="Q11" s="149"/>
      <c r="R11" s="149"/>
      <c r="S11" s="150" t="n">
        <f aca="false">COUNTA(C11:P11)-COUNTIF(C11:P11,"X")</f>
        <v>0</v>
      </c>
      <c r="T11" s="151"/>
      <c r="U11" s="152" t="str">
        <f aca="false">IF(AND(B11&lt;&gt;"",OR(COUNTIF(C11:P11,"X")&gt;0,S11=0)),ROW()-4,"")</f>
        <v/>
      </c>
    </row>
    <row r="12" customFormat="false" ht="27.75" hidden="false" customHeight="true" outlineLevel="0" collapsed="false">
      <c r="A12" s="153" t="n">
        <v>8</v>
      </c>
      <c r="B12" s="154"/>
      <c r="C12" s="155"/>
      <c r="D12" s="155"/>
      <c r="E12" s="155"/>
      <c r="F12" s="155"/>
      <c r="G12" s="155"/>
      <c r="H12" s="155"/>
      <c r="I12" s="155"/>
      <c r="J12" s="155"/>
      <c r="K12" s="155"/>
      <c r="L12" s="155"/>
      <c r="M12" s="155"/>
      <c r="N12" s="155"/>
      <c r="O12" s="155"/>
      <c r="P12" s="155"/>
      <c r="Q12" s="155"/>
      <c r="R12" s="155"/>
      <c r="S12" s="150" t="n">
        <f aca="false">COUNTA(C12:P12)-COUNTIF(C12:P12,"X")</f>
        <v>0</v>
      </c>
      <c r="T12" s="151"/>
      <c r="U12" s="152" t="str">
        <f aca="false">IF(AND(B12&lt;&gt;"",OR(COUNTIF(C12:P12,"X")&gt;0,S12=0)),ROW()-4,"")</f>
        <v/>
      </c>
    </row>
    <row r="13" customFormat="false" ht="27.75" hidden="false" customHeight="true" outlineLevel="0" collapsed="false">
      <c r="A13" s="147" t="n">
        <v>9</v>
      </c>
      <c r="B13" s="148"/>
      <c r="C13" s="149"/>
      <c r="D13" s="149"/>
      <c r="E13" s="149"/>
      <c r="F13" s="149"/>
      <c r="G13" s="149"/>
      <c r="H13" s="149"/>
      <c r="I13" s="149"/>
      <c r="J13" s="149"/>
      <c r="K13" s="149"/>
      <c r="L13" s="149"/>
      <c r="M13" s="149"/>
      <c r="N13" s="149"/>
      <c r="O13" s="149"/>
      <c r="P13" s="149"/>
      <c r="Q13" s="149"/>
      <c r="R13" s="149"/>
      <c r="S13" s="150" t="n">
        <f aca="false">COUNTA(C13:P13)-COUNTIF(C13:P13,"X")</f>
        <v>0</v>
      </c>
      <c r="T13" s="151"/>
      <c r="U13" s="152" t="str">
        <f aca="false">IF(AND(B13&lt;&gt;"",OR(COUNTIF(C13:P13,"X")&gt;0,S13=0)),ROW()-4,"")</f>
        <v/>
      </c>
    </row>
    <row r="14" customFormat="false" ht="27.75" hidden="false" customHeight="true" outlineLevel="0" collapsed="false">
      <c r="A14" s="153" t="n">
        <v>10</v>
      </c>
      <c r="B14" s="154"/>
      <c r="C14" s="155"/>
      <c r="D14" s="155"/>
      <c r="E14" s="155"/>
      <c r="F14" s="155"/>
      <c r="G14" s="155"/>
      <c r="H14" s="155"/>
      <c r="I14" s="155"/>
      <c r="J14" s="155"/>
      <c r="K14" s="155"/>
      <c r="L14" s="155"/>
      <c r="M14" s="155"/>
      <c r="N14" s="155"/>
      <c r="O14" s="155"/>
      <c r="P14" s="155"/>
      <c r="Q14" s="155"/>
      <c r="R14" s="155"/>
      <c r="S14" s="150" t="n">
        <f aca="false">COUNTA(C14:P14)-COUNTIF(C14:P14,"X")</f>
        <v>0</v>
      </c>
      <c r="T14" s="151"/>
      <c r="U14" s="152" t="str">
        <f aca="false">IF(AND(B14&lt;&gt;"",OR(COUNTIF(C14:P14,"X")&gt;0,S14=0)),ROW()-4,"")</f>
        <v/>
      </c>
    </row>
    <row r="15" customFormat="false" ht="27.75" hidden="false" customHeight="true" outlineLevel="0" collapsed="false">
      <c r="A15" s="147" t="n">
        <v>11</v>
      </c>
      <c r="B15" s="148"/>
      <c r="C15" s="149"/>
      <c r="D15" s="149"/>
      <c r="E15" s="149"/>
      <c r="F15" s="149"/>
      <c r="G15" s="149"/>
      <c r="H15" s="149"/>
      <c r="I15" s="149"/>
      <c r="J15" s="149"/>
      <c r="K15" s="149"/>
      <c r="L15" s="149"/>
      <c r="M15" s="149"/>
      <c r="N15" s="149"/>
      <c r="O15" s="149"/>
      <c r="P15" s="149"/>
      <c r="Q15" s="149"/>
      <c r="R15" s="149"/>
      <c r="S15" s="150" t="n">
        <f aca="false">COUNTA(C15:P15)-COUNTIF(C15:P15,"X")</f>
        <v>0</v>
      </c>
      <c r="T15" s="151"/>
      <c r="U15" s="152" t="str">
        <f aca="false">IF(AND(B15&lt;&gt;"",OR(COUNTIF(C15:P15,"X")&gt;0,S15=0)),ROW()-4,"")</f>
        <v/>
      </c>
    </row>
    <row r="16" customFormat="false" ht="27.75" hidden="false" customHeight="true" outlineLevel="0" collapsed="false">
      <c r="A16" s="153" t="n">
        <v>12</v>
      </c>
      <c r="B16" s="154"/>
      <c r="C16" s="155"/>
      <c r="D16" s="155"/>
      <c r="E16" s="155"/>
      <c r="F16" s="155"/>
      <c r="G16" s="155"/>
      <c r="H16" s="155"/>
      <c r="I16" s="155"/>
      <c r="J16" s="155"/>
      <c r="K16" s="155"/>
      <c r="L16" s="155"/>
      <c r="M16" s="155"/>
      <c r="N16" s="155"/>
      <c r="O16" s="155"/>
      <c r="P16" s="155"/>
      <c r="Q16" s="155"/>
      <c r="R16" s="155"/>
      <c r="S16" s="150" t="n">
        <f aca="false">COUNTA(C16:P16)-COUNTIF(C16:P16,"X")</f>
        <v>0</v>
      </c>
      <c r="T16" s="151"/>
      <c r="U16" s="152" t="str">
        <f aca="false">IF(AND(B16&lt;&gt;"",OR(COUNTIF(C16:P16,"X")&gt;0,S16=0)),ROW()-4,"")</f>
        <v/>
      </c>
    </row>
    <row r="17" customFormat="false" ht="27.75" hidden="false" customHeight="true" outlineLevel="0" collapsed="false">
      <c r="A17" s="147" t="n">
        <v>13</v>
      </c>
      <c r="B17" s="148"/>
      <c r="C17" s="149"/>
      <c r="D17" s="149"/>
      <c r="E17" s="149"/>
      <c r="F17" s="149"/>
      <c r="G17" s="149"/>
      <c r="H17" s="149"/>
      <c r="I17" s="149"/>
      <c r="J17" s="149"/>
      <c r="K17" s="149"/>
      <c r="L17" s="149"/>
      <c r="M17" s="149"/>
      <c r="N17" s="149"/>
      <c r="O17" s="149"/>
      <c r="P17" s="149"/>
      <c r="Q17" s="149"/>
      <c r="R17" s="149"/>
      <c r="S17" s="150" t="n">
        <f aca="false">COUNTA(C17:P17)-COUNTIF(C17:P17,"X")</f>
        <v>0</v>
      </c>
      <c r="T17" s="151"/>
      <c r="U17" s="152" t="str">
        <f aca="false">IF(AND(B17&lt;&gt;"",OR(COUNTIF(C17:P17,"X")&gt;0,S17=0)),ROW()-4,"")</f>
        <v/>
      </c>
    </row>
    <row r="18" customFormat="false" ht="27.75" hidden="false" customHeight="true" outlineLevel="0" collapsed="false">
      <c r="A18" s="153" t="n">
        <v>14</v>
      </c>
      <c r="B18" s="154"/>
      <c r="C18" s="155"/>
      <c r="D18" s="155"/>
      <c r="E18" s="155"/>
      <c r="F18" s="155"/>
      <c r="G18" s="155"/>
      <c r="H18" s="155"/>
      <c r="I18" s="155"/>
      <c r="J18" s="155"/>
      <c r="K18" s="155"/>
      <c r="L18" s="155"/>
      <c r="M18" s="155"/>
      <c r="N18" s="155"/>
      <c r="O18" s="155"/>
      <c r="P18" s="155"/>
      <c r="Q18" s="155"/>
      <c r="R18" s="155"/>
      <c r="S18" s="150" t="n">
        <f aca="false">COUNTA(C18:P18)-COUNTIF(C18:P18,"X")</f>
        <v>0</v>
      </c>
      <c r="T18" s="151"/>
      <c r="U18" s="152" t="str">
        <f aca="false">IF(AND(B18&lt;&gt;"",OR(COUNTIF(C18:P18,"X")&gt;0,S18=0)),ROW()-4,"")</f>
        <v/>
      </c>
    </row>
    <row r="19" customFormat="false" ht="27.75" hidden="false" customHeight="true" outlineLevel="0" collapsed="false">
      <c r="A19" s="147" t="n">
        <v>15</v>
      </c>
      <c r="B19" s="148"/>
      <c r="C19" s="149"/>
      <c r="D19" s="149"/>
      <c r="E19" s="149"/>
      <c r="F19" s="149"/>
      <c r="G19" s="149"/>
      <c r="H19" s="149"/>
      <c r="I19" s="149"/>
      <c r="J19" s="149"/>
      <c r="K19" s="149"/>
      <c r="L19" s="149"/>
      <c r="M19" s="149"/>
      <c r="N19" s="149"/>
      <c r="O19" s="149"/>
      <c r="P19" s="149"/>
      <c r="Q19" s="149"/>
      <c r="R19" s="149"/>
      <c r="S19" s="150" t="n">
        <f aca="false">COUNTA(C19:P19)-COUNTIF(C19:P19,"X")</f>
        <v>0</v>
      </c>
      <c r="T19" s="151"/>
      <c r="U19" s="152" t="str">
        <f aca="false">IF(AND(B19&lt;&gt;"",OR(COUNTIF(C19:P19,"X")&gt;0,S19=0)),ROW()-4,"")</f>
        <v/>
      </c>
    </row>
    <row r="20" customFormat="false" ht="27.75" hidden="false" customHeight="true" outlineLevel="0" collapsed="false">
      <c r="A20" s="153" t="n">
        <v>16</v>
      </c>
      <c r="B20" s="154"/>
      <c r="C20" s="155"/>
      <c r="D20" s="155"/>
      <c r="E20" s="155"/>
      <c r="F20" s="155"/>
      <c r="G20" s="155"/>
      <c r="H20" s="155"/>
      <c r="I20" s="155"/>
      <c r="J20" s="155"/>
      <c r="K20" s="155"/>
      <c r="L20" s="155"/>
      <c r="M20" s="155"/>
      <c r="N20" s="155"/>
      <c r="O20" s="155"/>
      <c r="P20" s="155"/>
      <c r="Q20" s="155"/>
      <c r="R20" s="155"/>
      <c r="S20" s="150" t="n">
        <f aca="false">COUNTA(C20:P20)-COUNTIF(C20:P20,"X")</f>
        <v>0</v>
      </c>
      <c r="T20" s="151"/>
      <c r="U20" s="152" t="str">
        <f aca="false">IF(AND(B20&lt;&gt;"",OR(COUNTIF(C20:P20,"X")&gt;0,S20=0)),ROW()-4,"")</f>
        <v/>
      </c>
    </row>
    <row r="21" customFormat="false" ht="27.75" hidden="false" customHeight="true" outlineLevel="0" collapsed="false">
      <c r="A21" s="147" t="n">
        <v>17</v>
      </c>
      <c r="B21" s="148"/>
      <c r="C21" s="149"/>
      <c r="D21" s="149"/>
      <c r="E21" s="149"/>
      <c r="F21" s="149"/>
      <c r="G21" s="149"/>
      <c r="H21" s="149"/>
      <c r="I21" s="149"/>
      <c r="J21" s="149"/>
      <c r="K21" s="149"/>
      <c r="L21" s="149"/>
      <c r="M21" s="149"/>
      <c r="N21" s="149"/>
      <c r="O21" s="149"/>
      <c r="P21" s="149"/>
      <c r="Q21" s="149"/>
      <c r="R21" s="149"/>
      <c r="S21" s="150" t="n">
        <f aca="false">COUNTA(C21:P21)-COUNTIF(C21:P21,"X")</f>
        <v>0</v>
      </c>
      <c r="T21" s="151"/>
      <c r="U21" s="152" t="str">
        <f aca="false">IF(AND(B21&lt;&gt;"",OR(COUNTIF(C21:P21,"X")&gt;0,S21=0)),ROW()-4,"")</f>
        <v/>
      </c>
    </row>
    <row r="22" customFormat="false" ht="27.75" hidden="false" customHeight="true" outlineLevel="0" collapsed="false">
      <c r="A22" s="153" t="n">
        <v>18</v>
      </c>
      <c r="B22" s="154"/>
      <c r="C22" s="155"/>
      <c r="D22" s="155"/>
      <c r="E22" s="155"/>
      <c r="F22" s="155"/>
      <c r="G22" s="155"/>
      <c r="H22" s="155"/>
      <c r="I22" s="155"/>
      <c r="J22" s="155"/>
      <c r="K22" s="155"/>
      <c r="L22" s="155"/>
      <c r="M22" s="155"/>
      <c r="N22" s="155"/>
      <c r="O22" s="155"/>
      <c r="P22" s="155"/>
      <c r="Q22" s="155"/>
      <c r="R22" s="155"/>
      <c r="S22" s="150" t="n">
        <f aca="false">COUNTA(C22:P22)-COUNTIF(C22:P22,"X")</f>
        <v>0</v>
      </c>
      <c r="T22" s="151"/>
      <c r="U22" s="152" t="str">
        <f aca="false">IF(AND(B22&lt;&gt;"",OR(COUNTIF(C22:P22,"X")&gt;0,S22=0)),ROW()-4,"")</f>
        <v/>
      </c>
    </row>
    <row r="23" customFormat="false" ht="27.75" hidden="false" customHeight="true" outlineLevel="0" collapsed="false">
      <c r="A23" s="147" t="n">
        <v>19</v>
      </c>
      <c r="B23" s="148"/>
      <c r="C23" s="149"/>
      <c r="D23" s="149"/>
      <c r="E23" s="149"/>
      <c r="F23" s="149"/>
      <c r="G23" s="149"/>
      <c r="H23" s="149"/>
      <c r="I23" s="149"/>
      <c r="J23" s="149"/>
      <c r="K23" s="149"/>
      <c r="L23" s="149"/>
      <c r="M23" s="149"/>
      <c r="N23" s="149"/>
      <c r="O23" s="149"/>
      <c r="P23" s="149"/>
      <c r="Q23" s="149"/>
      <c r="R23" s="149"/>
      <c r="S23" s="150" t="n">
        <f aca="false">COUNTA(C23:P23)-COUNTIF(C23:P23,"X")</f>
        <v>0</v>
      </c>
      <c r="T23" s="151"/>
      <c r="U23" s="152" t="str">
        <f aca="false">IF(AND(B23&lt;&gt;"",OR(COUNTIF(C23:P23,"X")&gt;0,S23=0)),ROW()-4,"")</f>
        <v/>
      </c>
    </row>
    <row r="24" customFormat="false" ht="27.75" hidden="false" customHeight="true" outlineLevel="0" collapsed="false">
      <c r="A24" s="153" t="n">
        <v>20</v>
      </c>
      <c r="B24" s="154"/>
      <c r="C24" s="155"/>
      <c r="D24" s="155"/>
      <c r="E24" s="155"/>
      <c r="F24" s="155"/>
      <c r="G24" s="155"/>
      <c r="H24" s="155"/>
      <c r="I24" s="155"/>
      <c r="J24" s="155"/>
      <c r="K24" s="155"/>
      <c r="L24" s="155"/>
      <c r="M24" s="155"/>
      <c r="N24" s="155"/>
      <c r="O24" s="155"/>
      <c r="P24" s="155"/>
      <c r="Q24" s="155"/>
      <c r="R24" s="155"/>
      <c r="S24" s="150" t="n">
        <f aca="false">COUNTA(C24:P24)-COUNTIF(C24:P24,"X")</f>
        <v>0</v>
      </c>
      <c r="T24" s="151"/>
      <c r="U24" s="152" t="str">
        <f aca="false">IF(AND(B24&lt;&gt;"",OR(COUNTIF(C24:P24,"X")&gt;0,S24=0)),ROW()-4,"")</f>
        <v/>
      </c>
    </row>
    <row r="25" customFormat="false" ht="27.75" hidden="false" customHeight="true" outlineLevel="0" collapsed="false">
      <c r="A25" s="147" t="n">
        <v>21</v>
      </c>
      <c r="B25" s="148"/>
      <c r="C25" s="149"/>
      <c r="D25" s="149"/>
      <c r="E25" s="149"/>
      <c r="F25" s="149"/>
      <c r="G25" s="149"/>
      <c r="H25" s="149"/>
      <c r="I25" s="149"/>
      <c r="J25" s="149"/>
      <c r="K25" s="149"/>
      <c r="L25" s="149"/>
      <c r="M25" s="149"/>
      <c r="N25" s="149"/>
      <c r="O25" s="149"/>
      <c r="P25" s="149"/>
      <c r="Q25" s="149"/>
      <c r="R25" s="149"/>
      <c r="S25" s="150" t="n">
        <f aca="false">COUNTA(C25:P25)-COUNTIF(C25:P25,"X")</f>
        <v>0</v>
      </c>
      <c r="T25" s="151"/>
      <c r="U25" s="152" t="str">
        <f aca="false">IF(AND(B25&lt;&gt;"",OR(COUNTIF(C25:P25,"X")&gt;0,S25=0)),ROW()-4,"")</f>
        <v/>
      </c>
    </row>
    <row r="26" customFormat="false" ht="27.75" hidden="false" customHeight="true" outlineLevel="0" collapsed="false">
      <c r="A26" s="153" t="n">
        <v>22</v>
      </c>
      <c r="B26" s="154"/>
      <c r="C26" s="155"/>
      <c r="D26" s="155"/>
      <c r="E26" s="155"/>
      <c r="F26" s="155"/>
      <c r="G26" s="155"/>
      <c r="H26" s="155"/>
      <c r="I26" s="155"/>
      <c r="J26" s="155"/>
      <c r="K26" s="155"/>
      <c r="L26" s="155"/>
      <c r="M26" s="155"/>
      <c r="N26" s="155"/>
      <c r="O26" s="155"/>
      <c r="P26" s="155"/>
      <c r="Q26" s="155"/>
      <c r="R26" s="155"/>
      <c r="S26" s="150" t="n">
        <f aca="false">COUNTA(C26:P26)-COUNTIF(C26:P26,"X")</f>
        <v>0</v>
      </c>
      <c r="T26" s="151"/>
      <c r="U26" s="152" t="str">
        <f aca="false">IF(AND(B26&lt;&gt;"",OR(COUNTIF(C26:P26,"X")&gt;0,S26=0)),ROW()-4,"")</f>
        <v/>
      </c>
    </row>
    <row r="27" customFormat="false" ht="27.75" hidden="false" customHeight="true" outlineLevel="0" collapsed="false">
      <c r="A27" s="147" t="n">
        <v>23</v>
      </c>
      <c r="B27" s="148"/>
      <c r="C27" s="149"/>
      <c r="D27" s="149"/>
      <c r="E27" s="149"/>
      <c r="F27" s="149"/>
      <c r="G27" s="149"/>
      <c r="H27" s="149"/>
      <c r="I27" s="149"/>
      <c r="J27" s="149"/>
      <c r="K27" s="149"/>
      <c r="L27" s="149"/>
      <c r="M27" s="149"/>
      <c r="N27" s="149"/>
      <c r="O27" s="149"/>
      <c r="P27" s="149"/>
      <c r="Q27" s="149"/>
      <c r="R27" s="149"/>
      <c r="S27" s="150" t="n">
        <f aca="false">COUNTA(C27:P27)-COUNTIF(C27:P27,"X")</f>
        <v>0</v>
      </c>
      <c r="T27" s="151"/>
      <c r="U27" s="152" t="str">
        <f aca="false">IF(AND(B27&lt;&gt;"",OR(COUNTIF(C27:P27,"X")&gt;0,S27=0)),ROW()-4,"")</f>
        <v/>
      </c>
    </row>
    <row r="28" customFormat="false" ht="27.75" hidden="false" customHeight="true" outlineLevel="0" collapsed="false">
      <c r="A28" s="153" t="n">
        <v>24</v>
      </c>
      <c r="B28" s="154"/>
      <c r="C28" s="155"/>
      <c r="D28" s="155"/>
      <c r="E28" s="155"/>
      <c r="F28" s="155"/>
      <c r="G28" s="155"/>
      <c r="H28" s="155"/>
      <c r="I28" s="155"/>
      <c r="J28" s="155"/>
      <c r="K28" s="155"/>
      <c r="L28" s="155"/>
      <c r="M28" s="155"/>
      <c r="N28" s="155"/>
      <c r="O28" s="155"/>
      <c r="P28" s="155"/>
      <c r="Q28" s="155"/>
      <c r="R28" s="155"/>
      <c r="S28" s="150" t="n">
        <f aca="false">COUNTA(C28:P28)-COUNTIF(C28:P28,"X")</f>
        <v>0</v>
      </c>
      <c r="T28" s="151"/>
      <c r="U28" s="152" t="str">
        <f aca="false">IF(AND(B28&lt;&gt;"",OR(COUNTIF(C28:P28,"X")&gt;0,S28=0)),ROW()-4,"")</f>
        <v/>
      </c>
    </row>
    <row r="29" customFormat="false" ht="27.75" hidden="false" customHeight="true" outlineLevel="0" collapsed="false">
      <c r="A29" s="147" t="n">
        <v>25</v>
      </c>
      <c r="B29" s="148"/>
      <c r="C29" s="149"/>
      <c r="D29" s="149"/>
      <c r="E29" s="149"/>
      <c r="F29" s="149"/>
      <c r="G29" s="149"/>
      <c r="H29" s="149"/>
      <c r="I29" s="149"/>
      <c r="J29" s="149"/>
      <c r="K29" s="149"/>
      <c r="L29" s="149"/>
      <c r="M29" s="149"/>
      <c r="N29" s="149"/>
      <c r="O29" s="149"/>
      <c r="P29" s="149"/>
      <c r="Q29" s="149"/>
      <c r="R29" s="149"/>
      <c r="S29" s="150" t="n">
        <f aca="false">COUNTA(C29:P29)-COUNTIF(C29:P29,"X")</f>
        <v>0</v>
      </c>
      <c r="T29" s="151"/>
      <c r="U29" s="152" t="str">
        <f aca="false">IF(AND(B29&lt;&gt;"",OR(COUNTIF(C29:P29,"X")&gt;0,S29=0)),ROW()-4,"")</f>
        <v/>
      </c>
    </row>
    <row r="30" customFormat="false" ht="27.75" hidden="false" customHeight="true" outlineLevel="0" collapsed="false">
      <c r="A30" s="153" t="n">
        <v>26</v>
      </c>
      <c r="B30" s="154"/>
      <c r="C30" s="155"/>
      <c r="D30" s="155"/>
      <c r="E30" s="155"/>
      <c r="F30" s="155"/>
      <c r="G30" s="155"/>
      <c r="H30" s="155"/>
      <c r="I30" s="155"/>
      <c r="J30" s="155"/>
      <c r="K30" s="155"/>
      <c r="L30" s="155"/>
      <c r="M30" s="155"/>
      <c r="N30" s="155"/>
      <c r="O30" s="155"/>
      <c r="P30" s="155"/>
      <c r="Q30" s="155"/>
      <c r="R30" s="155"/>
      <c r="S30" s="150" t="n">
        <f aca="false">COUNTA(C30:P30)-COUNTIF(C30:P30,"X")</f>
        <v>0</v>
      </c>
      <c r="T30" s="151"/>
      <c r="U30" s="152" t="str">
        <f aca="false">IF(AND(B30&lt;&gt;"",OR(COUNTIF(C30:P30,"X")&gt;0,S30=0)),ROW()-4,"")</f>
        <v/>
      </c>
    </row>
    <row r="31" customFormat="false" ht="27.75" hidden="false" customHeight="true" outlineLevel="0" collapsed="false">
      <c r="A31" s="147" t="n">
        <v>27</v>
      </c>
      <c r="B31" s="148"/>
      <c r="C31" s="149"/>
      <c r="D31" s="149"/>
      <c r="E31" s="149"/>
      <c r="F31" s="149"/>
      <c r="G31" s="149"/>
      <c r="H31" s="149"/>
      <c r="I31" s="149"/>
      <c r="J31" s="149"/>
      <c r="K31" s="149"/>
      <c r="L31" s="149"/>
      <c r="M31" s="149"/>
      <c r="N31" s="149"/>
      <c r="O31" s="149"/>
      <c r="P31" s="149"/>
      <c r="Q31" s="149"/>
      <c r="R31" s="149"/>
      <c r="S31" s="150" t="n">
        <f aca="false">COUNTA(C31:P31)-COUNTIF(C31:P31,"X")</f>
        <v>0</v>
      </c>
      <c r="T31" s="151"/>
      <c r="U31" s="152" t="str">
        <f aca="false">IF(AND(B31&lt;&gt;"",OR(COUNTIF(C31:P31,"X")&gt;0,S31=0)),ROW()-4,"")</f>
        <v/>
      </c>
    </row>
    <row r="32" customFormat="false" ht="27.75" hidden="false" customHeight="true" outlineLevel="0" collapsed="false">
      <c r="A32" s="153" t="n">
        <v>28</v>
      </c>
      <c r="B32" s="154"/>
      <c r="C32" s="155"/>
      <c r="D32" s="155"/>
      <c r="E32" s="155"/>
      <c r="F32" s="155"/>
      <c r="G32" s="155"/>
      <c r="H32" s="155"/>
      <c r="I32" s="155"/>
      <c r="J32" s="155"/>
      <c r="K32" s="155"/>
      <c r="L32" s="155"/>
      <c r="M32" s="155"/>
      <c r="N32" s="155"/>
      <c r="O32" s="155"/>
      <c r="P32" s="155"/>
      <c r="Q32" s="155"/>
      <c r="R32" s="155"/>
      <c r="S32" s="150" t="n">
        <f aca="false">COUNTA(C32:P32)-COUNTIF(C32:P32,"X")</f>
        <v>0</v>
      </c>
      <c r="T32" s="151"/>
      <c r="U32" s="152" t="str">
        <f aca="false">IF(AND(B32&lt;&gt;"",OR(COUNTIF(C32:P32,"X")&gt;0,S32=0)),ROW()-4,"")</f>
        <v/>
      </c>
    </row>
    <row r="33" customFormat="false" ht="27.75" hidden="false" customHeight="true" outlineLevel="0" collapsed="false">
      <c r="A33" s="147" t="n">
        <v>29</v>
      </c>
      <c r="B33" s="148"/>
      <c r="C33" s="149"/>
      <c r="D33" s="149"/>
      <c r="E33" s="149"/>
      <c r="F33" s="149"/>
      <c r="G33" s="149"/>
      <c r="H33" s="149"/>
      <c r="I33" s="149"/>
      <c r="J33" s="149"/>
      <c r="K33" s="149"/>
      <c r="L33" s="149"/>
      <c r="M33" s="149"/>
      <c r="N33" s="149"/>
      <c r="O33" s="149"/>
      <c r="P33" s="149"/>
      <c r="Q33" s="149"/>
      <c r="R33" s="149"/>
      <c r="S33" s="150" t="n">
        <f aca="false">COUNTA(C33:P33)-COUNTIF(C33:P33,"X")</f>
        <v>0</v>
      </c>
      <c r="T33" s="151"/>
      <c r="U33" s="152" t="str">
        <f aca="false">IF(AND(B33&lt;&gt;"",OR(COUNTIF(C33:P33,"X")&gt;0,S33=0)),ROW()-4,"")</f>
        <v/>
      </c>
    </row>
    <row r="34" customFormat="false" ht="27.75" hidden="false" customHeight="true" outlineLevel="0" collapsed="false">
      <c r="A34" s="153" t="n">
        <v>30</v>
      </c>
      <c r="B34" s="154"/>
      <c r="C34" s="155"/>
      <c r="D34" s="155"/>
      <c r="E34" s="155"/>
      <c r="F34" s="155"/>
      <c r="G34" s="155"/>
      <c r="H34" s="155"/>
      <c r="I34" s="155"/>
      <c r="J34" s="155"/>
      <c r="K34" s="155"/>
      <c r="L34" s="155"/>
      <c r="M34" s="155"/>
      <c r="N34" s="155"/>
      <c r="O34" s="155"/>
      <c r="P34" s="155"/>
      <c r="Q34" s="155"/>
      <c r="R34" s="155"/>
      <c r="S34" s="150" t="n">
        <f aca="false">COUNTA(C34:P34)-COUNTIF(C34:P34,"X")</f>
        <v>0</v>
      </c>
      <c r="T34" s="151"/>
      <c r="U34" s="152" t="str">
        <f aca="false">IF(AND(B34&lt;&gt;"",OR(COUNTIF(C34:P34,"X")&gt;0,S34=0)),ROW()-4,"")</f>
        <v/>
      </c>
    </row>
    <row r="35" customFormat="false" ht="27.75" hidden="false" customHeight="true" outlineLevel="0" collapsed="false">
      <c r="A35" s="147" t="n">
        <v>31</v>
      </c>
      <c r="B35" s="148"/>
      <c r="C35" s="149"/>
      <c r="D35" s="149"/>
      <c r="E35" s="149"/>
      <c r="F35" s="149"/>
      <c r="G35" s="149"/>
      <c r="H35" s="149"/>
      <c r="I35" s="149"/>
      <c r="J35" s="149"/>
      <c r="K35" s="149"/>
      <c r="L35" s="149"/>
      <c r="M35" s="149"/>
      <c r="N35" s="149"/>
      <c r="O35" s="149"/>
      <c r="P35" s="149"/>
      <c r="Q35" s="149"/>
      <c r="R35" s="149"/>
    </row>
    <row r="36" customFormat="false" ht="24.75" hidden="false" customHeight="true" outlineLevel="0" collapsed="false">
      <c r="A36" s="156" t="s">
        <v>3641</v>
      </c>
      <c r="B36" s="157"/>
      <c r="C36" s="157" t="n">
        <f aca="false">COUNTIF(C5:C34,"V")</f>
        <v>0</v>
      </c>
      <c r="D36" s="157" t="n">
        <f aca="false">COUNTIF(D5:D34,"V")</f>
        <v>0</v>
      </c>
      <c r="E36" s="157" t="n">
        <f aca="false">COUNTIF(E5:E34,"V")</f>
        <v>0</v>
      </c>
      <c r="F36" s="157" t="n">
        <f aca="false">COUNTIF(F5:F34,"V")</f>
        <v>0</v>
      </c>
      <c r="G36" s="157" t="n">
        <f aca="false">COUNTIF(G5:G34,"V")</f>
        <v>0</v>
      </c>
      <c r="H36" s="157" t="n">
        <f aca="false">COUNTIF(H5:H34,"V")</f>
        <v>0</v>
      </c>
      <c r="I36" s="157" t="n">
        <f aca="false">COUNTIF(I5:I34,"V")</f>
        <v>0</v>
      </c>
      <c r="J36" s="157" t="n">
        <f aca="false">COUNTIF(J5:J34,"V")</f>
        <v>0</v>
      </c>
      <c r="K36" s="157" t="n">
        <f aca="false">COUNTIF(K5:K34,"V")</f>
        <v>0</v>
      </c>
      <c r="L36" s="157" t="n">
        <f aca="false">COUNTIF(L5:L34,"V")</f>
        <v>0</v>
      </c>
      <c r="M36" s="157" t="n">
        <f aca="false">COUNTIF(M5:M34,"V")</f>
        <v>0</v>
      </c>
      <c r="N36" s="157" t="n">
        <f aca="false">COUNTIF(N5:N34,"V")</f>
        <v>0</v>
      </c>
      <c r="O36" s="157" t="n">
        <f aca="false">COUNTIF(O5:O34,"V")</f>
        <v>0</v>
      </c>
      <c r="P36" s="157" t="n">
        <f aca="false">COUNTIF(P5:P34,"V")</f>
        <v>0</v>
      </c>
      <c r="Q36" s="157"/>
      <c r="R36" s="157"/>
    </row>
    <row r="37" customFormat="false" ht="24.75" hidden="false" customHeight="true" outlineLevel="0" collapsed="false">
      <c r="A37" s="158" t="s">
        <v>3642</v>
      </c>
      <c r="B37" s="159"/>
      <c r="C37" s="160" t="n">
        <f aca="false">COUNTIF(C5:C34,"I")</f>
        <v>0</v>
      </c>
      <c r="D37" s="160" t="n">
        <f aca="false">COUNTIF(D5:D34,"I")</f>
        <v>0</v>
      </c>
      <c r="E37" s="160" t="n">
        <f aca="false">COUNTIF(E5:E34,"I")</f>
        <v>0</v>
      </c>
      <c r="F37" s="160" t="n">
        <f aca="false">COUNTIF(F5:F34,"I")</f>
        <v>0</v>
      </c>
      <c r="G37" s="160" t="n">
        <f aca="false">COUNTIF(G5:G34,"I")</f>
        <v>0</v>
      </c>
      <c r="H37" s="160" t="n">
        <f aca="false">COUNTIF(H5:H34,"I")</f>
        <v>0</v>
      </c>
      <c r="I37" s="160" t="n">
        <f aca="false">COUNTIF(I5:I34,"I")</f>
        <v>0</v>
      </c>
      <c r="J37" s="160" t="n">
        <f aca="false">COUNTIF(J5:J34,"I")</f>
        <v>0</v>
      </c>
      <c r="K37" s="160" t="n">
        <f aca="false">COUNTIF(K5:K34,"I")</f>
        <v>0</v>
      </c>
      <c r="L37" s="160" t="n">
        <f aca="false">COUNTIF(L5:L34,"I")</f>
        <v>0</v>
      </c>
      <c r="M37" s="160" t="n">
        <f aca="false">COUNTIF(M5:M34,"I")</f>
        <v>0</v>
      </c>
      <c r="N37" s="160" t="n">
        <f aca="false">COUNTIF(N5:N34,"I")</f>
        <v>0</v>
      </c>
      <c r="O37" s="160" t="n">
        <f aca="false">COUNTIF(O5:O34,"I")</f>
        <v>0</v>
      </c>
      <c r="P37" s="160" t="n">
        <f aca="false">COUNTIF(P5:P34,"I")</f>
        <v>0</v>
      </c>
      <c r="Q37" s="159"/>
      <c r="R37" s="159"/>
    </row>
    <row r="38" customFormat="false" ht="24.75" hidden="false" customHeight="true" outlineLevel="0" collapsed="false">
      <c r="A38" s="161" t="s">
        <v>3643</v>
      </c>
      <c r="B38" s="162"/>
      <c r="C38" s="163" t="n">
        <f aca="false">COUNTIF(C5:C34,"H")</f>
        <v>0</v>
      </c>
      <c r="D38" s="163" t="n">
        <f aca="false">COUNTIF(D5:D34,"H")</f>
        <v>0</v>
      </c>
      <c r="E38" s="163" t="n">
        <f aca="false">COUNTIF(E5:E34,"H")</f>
        <v>0</v>
      </c>
      <c r="F38" s="163" t="n">
        <f aca="false">COUNTIF(F5:F34,"H")</f>
        <v>0</v>
      </c>
      <c r="G38" s="163" t="n">
        <f aca="false">COUNTIF(G5:G34,"H")</f>
        <v>0</v>
      </c>
      <c r="H38" s="163" t="n">
        <f aca="false">COUNTIF(H5:H34,"H")</f>
        <v>0</v>
      </c>
      <c r="I38" s="163" t="n">
        <f aca="false">COUNTIF(I5:I34,"H")</f>
        <v>0</v>
      </c>
      <c r="J38" s="163" t="n">
        <f aca="false">COUNTIF(J5:J34,"H")</f>
        <v>0</v>
      </c>
      <c r="K38" s="163" t="n">
        <f aca="false">COUNTIF(K5:K34,"H")</f>
        <v>0</v>
      </c>
      <c r="L38" s="163" t="n">
        <f aca="false">COUNTIF(L5:L34,"H")</f>
        <v>0</v>
      </c>
      <c r="M38" s="163" t="n">
        <f aca="false">COUNTIF(M5:M34,"H")</f>
        <v>0</v>
      </c>
      <c r="N38" s="163" t="n">
        <f aca="false">COUNTIF(N5:N34,"H")</f>
        <v>0</v>
      </c>
      <c r="O38" s="163" t="n">
        <f aca="false">COUNTIF(O5:O34,"H")</f>
        <v>0</v>
      </c>
      <c r="P38" s="163" t="n">
        <f aca="false">COUNTIF(P5:P34,"H")</f>
        <v>0</v>
      </c>
      <c r="Q38" s="162"/>
      <c r="R38" s="162"/>
    </row>
    <row r="39" customFormat="false" ht="24.75" hidden="false" customHeight="true" outlineLevel="0" collapsed="false">
      <c r="A39" s="164" t="s">
        <v>3644</v>
      </c>
      <c r="B39" s="162"/>
      <c r="C39" s="165" t="n">
        <f aca="false">COUNTIF(C5:C34,"X")</f>
        <v>0</v>
      </c>
      <c r="D39" s="165" t="n">
        <f aca="false">COUNTIF(D5:D34,"X")</f>
        <v>0</v>
      </c>
      <c r="E39" s="165" t="n">
        <f aca="false">COUNTIF(E5:E34,"X")</f>
        <v>0</v>
      </c>
      <c r="F39" s="165" t="n">
        <f aca="false">COUNTIF(F5:F34,"X")</f>
        <v>0</v>
      </c>
      <c r="G39" s="165" t="n">
        <f aca="false">COUNTIF(G5:G34,"X")</f>
        <v>0</v>
      </c>
      <c r="H39" s="165" t="n">
        <f aca="false">COUNTIF(H5:H34,"X")</f>
        <v>0</v>
      </c>
      <c r="I39" s="165" t="n">
        <f aca="false">COUNTIF(I5:I34,"X")</f>
        <v>0</v>
      </c>
      <c r="J39" s="165" t="n">
        <f aca="false">COUNTIF(J5:J34,"X")</f>
        <v>0</v>
      </c>
      <c r="K39" s="165" t="n">
        <f aca="false">COUNTIF(K5:K34,"X")</f>
        <v>0</v>
      </c>
      <c r="L39" s="165" t="n">
        <f aca="false">COUNTIF(L5:L34,"X")</f>
        <v>0</v>
      </c>
      <c r="M39" s="165" t="n">
        <f aca="false">COUNTIF(M5:M34,"X")</f>
        <v>0</v>
      </c>
      <c r="N39" s="165" t="n">
        <f aca="false">COUNTIF(N5:N34,"X")</f>
        <v>0</v>
      </c>
      <c r="O39" s="165" t="n">
        <f aca="false">COUNTIF(O5:O34,"X")</f>
        <v>0</v>
      </c>
      <c r="P39" s="165" t="n">
        <f aca="false">COUNTIF(P5:P34,"X")</f>
        <v>0</v>
      </c>
      <c r="Q39" s="162"/>
      <c r="R39" s="162"/>
    </row>
    <row r="40" customFormat="false" ht="21.75" hidden="false" customHeight="true" outlineLevel="0" collapsed="false">
      <c r="A40" s="166" t="s">
        <v>3645</v>
      </c>
      <c r="B40" s="166"/>
      <c r="C40" s="166"/>
      <c r="D40" s="166"/>
      <c r="E40" s="166"/>
      <c r="F40" s="166"/>
      <c r="G40" s="166"/>
      <c r="H40" s="166"/>
      <c r="I40" s="166"/>
      <c r="J40" s="166"/>
      <c r="K40" s="166"/>
      <c r="L40" s="166"/>
      <c r="M40" s="166"/>
      <c r="N40" s="166"/>
      <c r="O40" s="166"/>
      <c r="P40" s="166"/>
      <c r="Q40" s="166"/>
      <c r="R40" s="166"/>
      <c r="S40" s="166"/>
      <c r="T40" s="166"/>
    </row>
    <row r="41" customFormat="false" ht="15" hidden="false" customHeight="true" outlineLevel="0" collapsed="false">
      <c r="A41" s="96" t="s">
        <v>3646</v>
      </c>
      <c r="B41" s="96"/>
      <c r="C41" s="96"/>
      <c r="D41" s="96"/>
      <c r="E41" s="96"/>
      <c r="F41" s="96"/>
      <c r="G41" s="96"/>
      <c r="H41" s="96"/>
      <c r="I41" s="96"/>
      <c r="J41" s="96"/>
      <c r="K41" s="96"/>
      <c r="L41" s="96"/>
      <c r="M41" s="96"/>
      <c r="N41" s="96"/>
      <c r="O41" s="96"/>
      <c r="P41" s="96"/>
      <c r="Q41" s="96"/>
      <c r="R41" s="96"/>
      <c r="S41" s="96"/>
    </row>
    <row r="42" customFormat="false" ht="25.5" hidden="false" customHeight="true" outlineLevel="0" collapsed="false">
      <c r="A42" s="167" t="s">
        <v>3647</v>
      </c>
      <c r="B42" s="167"/>
      <c r="C42" s="167"/>
      <c r="D42" s="167"/>
      <c r="E42" s="167"/>
      <c r="F42" s="167"/>
      <c r="G42" s="167"/>
      <c r="H42" s="167"/>
      <c r="I42" s="167"/>
      <c r="J42" s="167"/>
      <c r="K42" s="167"/>
      <c r="L42" s="167"/>
      <c r="M42" s="167"/>
      <c r="N42" s="167"/>
      <c r="O42" s="167"/>
      <c r="P42" s="167"/>
      <c r="Q42" s="167"/>
      <c r="R42" s="167"/>
      <c r="S42" s="167"/>
    </row>
    <row r="43" customFormat="false" ht="25.5" hidden="false" customHeight="true" outlineLevel="0" collapsed="false">
      <c r="A43" s="167" t="s">
        <v>3648</v>
      </c>
      <c r="B43" s="167"/>
      <c r="C43" s="167"/>
      <c r="D43" s="167"/>
      <c r="E43" s="167"/>
      <c r="F43" s="167"/>
      <c r="G43" s="167"/>
      <c r="H43" s="167"/>
      <c r="I43" s="167"/>
      <c r="J43" s="167"/>
      <c r="K43" s="167"/>
      <c r="L43" s="167"/>
      <c r="M43" s="167"/>
      <c r="N43" s="167"/>
      <c r="O43" s="167"/>
      <c r="P43" s="167"/>
      <c r="Q43" s="167"/>
      <c r="R43" s="167"/>
      <c r="S43" s="167"/>
    </row>
    <row r="44" customFormat="false" ht="25.5" hidden="false" customHeight="true" outlineLevel="0" collapsed="false">
      <c r="A44" s="167" t="s">
        <v>3649</v>
      </c>
      <c r="B44" s="167"/>
      <c r="C44" s="167"/>
      <c r="D44" s="167"/>
      <c r="E44" s="167"/>
      <c r="F44" s="167"/>
      <c r="G44" s="167"/>
      <c r="H44" s="167"/>
      <c r="I44" s="167"/>
      <c r="J44" s="167"/>
      <c r="K44" s="167"/>
      <c r="L44" s="167"/>
      <c r="M44" s="167"/>
      <c r="N44" s="167"/>
      <c r="O44" s="167"/>
      <c r="P44" s="167"/>
      <c r="Q44" s="167"/>
      <c r="R44" s="167"/>
      <c r="S44" s="167"/>
    </row>
    <row r="45" customFormat="false" ht="25.5" hidden="false" customHeight="true" outlineLevel="0" collapsed="false">
      <c r="A45" s="167" t="s">
        <v>3650</v>
      </c>
      <c r="B45" s="167"/>
      <c r="C45" s="167"/>
      <c r="D45" s="167"/>
      <c r="E45" s="167"/>
      <c r="F45" s="167"/>
      <c r="G45" s="167"/>
      <c r="H45" s="167"/>
      <c r="I45" s="167"/>
      <c r="J45" s="167"/>
      <c r="K45" s="167"/>
      <c r="L45" s="167"/>
      <c r="M45" s="167"/>
      <c r="N45" s="167"/>
      <c r="O45" s="167"/>
      <c r="P45" s="167"/>
      <c r="Q45" s="167"/>
      <c r="R45" s="167"/>
      <c r="S45" s="167"/>
    </row>
    <row r="46" customFormat="false" ht="25.5" hidden="false" customHeight="true" outlineLevel="0" collapsed="false">
      <c r="A46" s="167" t="s">
        <v>3651</v>
      </c>
      <c r="B46" s="167"/>
      <c r="C46" s="167"/>
      <c r="D46" s="167"/>
      <c r="E46" s="167"/>
      <c r="F46" s="167"/>
      <c r="G46" s="167"/>
      <c r="H46" s="167"/>
      <c r="I46" s="167"/>
      <c r="J46" s="167"/>
      <c r="K46" s="167"/>
      <c r="L46" s="167"/>
      <c r="M46" s="167"/>
      <c r="N46" s="167"/>
      <c r="O46" s="167"/>
      <c r="P46" s="167"/>
      <c r="Q46" s="167"/>
      <c r="R46" s="167"/>
      <c r="S46" s="167"/>
    </row>
    <row r="47" customFormat="false" ht="25.5" hidden="false" customHeight="true" outlineLevel="0" collapsed="false">
      <c r="A47" s="167" t="s">
        <v>3652</v>
      </c>
      <c r="B47" s="167"/>
      <c r="C47" s="167"/>
      <c r="D47" s="167"/>
      <c r="E47" s="167"/>
      <c r="F47" s="167"/>
      <c r="G47" s="167"/>
      <c r="H47" s="167"/>
      <c r="I47" s="167"/>
      <c r="J47" s="167"/>
      <c r="K47" s="167"/>
      <c r="L47" s="167"/>
      <c r="M47" s="167"/>
      <c r="N47" s="167"/>
      <c r="O47" s="167"/>
      <c r="P47" s="167"/>
      <c r="Q47" s="167"/>
      <c r="R47" s="167"/>
      <c r="S47" s="167"/>
    </row>
  </sheetData>
  <mergeCells count="10">
    <mergeCell ref="A2:T2"/>
    <mergeCell ref="A3:T3"/>
    <mergeCell ref="A40:T40"/>
    <mergeCell ref="A41:S41"/>
    <mergeCell ref="A42:S42"/>
    <mergeCell ref="A43:S43"/>
    <mergeCell ref="A44:S44"/>
    <mergeCell ref="A45:S45"/>
    <mergeCell ref="A46:S46"/>
    <mergeCell ref="A47:S47"/>
  </mergeCells>
  <dataValidations count="1">
    <dataValidation allowBlank="true" error="Chỉ nhập I, H, V hoặc X." errorStyle="stop" errorTitle="Giá trị không hợp lệ" operator="between" showDropDown="false" showErrorMessage="true" showInputMessage="false" sqref="C5:P34" type="list">
      <formula1>"I,H,V,X"</formula1>
      <formula2>0</formula2>
    </dataValidation>
  </dataValidation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18"/>
    <col collapsed="false" customWidth="true" hidden="false" outlineLevel="0" max="4" min="4" style="1" width="50"/>
    <col collapsed="false" customWidth="true" hidden="false" outlineLevel="0" max="5" min="5" style="1" width="30"/>
    <col collapsed="false" customWidth="true" hidden="false" outlineLevel="0" max="6" min="6" style="1" width="12"/>
    <col collapsed="false" customWidth="true" hidden="false" outlineLevel="0" max="7" min="7" style="1" width="30"/>
    <col collapsed="false" customWidth="true" hidden="false" outlineLevel="0" max="8" min="8" style="1" width="25"/>
  </cols>
  <sheetData>
    <row r="1" customFormat="false" ht="18" hidden="false" customHeight="true" outlineLevel="0" collapsed="false">
      <c r="A1" s="78" t="s">
        <v>56</v>
      </c>
      <c r="B1" s="2"/>
      <c r="C1" s="2"/>
      <c r="D1" s="2"/>
      <c r="E1" s="2"/>
      <c r="F1" s="2"/>
      <c r="G1" s="2"/>
      <c r="H1" s="2"/>
    </row>
    <row r="2" customFormat="false" ht="34.5" hidden="false" customHeight="true" outlineLevel="0" collapsed="false">
      <c r="A2" s="99" t="s">
        <v>3653</v>
      </c>
      <c r="B2" s="99"/>
      <c r="C2" s="99"/>
      <c r="D2" s="99"/>
      <c r="E2" s="99"/>
      <c r="F2" s="99"/>
      <c r="G2" s="99"/>
      <c r="H2" s="99"/>
    </row>
    <row r="3" customFormat="false" ht="15" hidden="false" customHeight="true" outlineLevel="0" collapsed="false">
      <c r="A3" s="100" t="s">
        <v>3654</v>
      </c>
      <c r="B3" s="100"/>
      <c r="C3" s="100"/>
      <c r="D3" s="100"/>
      <c r="E3" s="100"/>
      <c r="F3" s="100"/>
      <c r="G3" s="100"/>
      <c r="H3" s="100"/>
    </row>
    <row r="4" customFormat="false" ht="45" hidden="false" customHeight="true" outlineLevel="0" collapsed="false">
      <c r="A4" s="145" t="s">
        <v>3544</v>
      </c>
      <c r="B4" s="145" t="s">
        <v>3655</v>
      </c>
      <c r="C4" s="145" t="s">
        <v>3610</v>
      </c>
      <c r="D4" s="145" t="s">
        <v>3656</v>
      </c>
      <c r="E4" s="145" t="s">
        <v>3657</v>
      </c>
      <c r="F4" s="145" t="s">
        <v>3658</v>
      </c>
      <c r="G4" s="145" t="s">
        <v>3659</v>
      </c>
      <c r="H4" s="145" t="s">
        <v>3660</v>
      </c>
    </row>
    <row r="5" customFormat="false" ht="19.5" hidden="false" customHeight="true" outlineLevel="0" collapsed="false">
      <c r="A5" s="168" t="s">
        <v>3661</v>
      </c>
      <c r="B5" s="168"/>
      <c r="C5" s="168"/>
      <c r="D5" s="168"/>
      <c r="E5" s="168"/>
      <c r="F5" s="168"/>
      <c r="G5" s="168"/>
      <c r="H5" s="168"/>
    </row>
    <row r="6" customFormat="false" ht="69.75" hidden="false" customHeight="true" outlineLevel="0" collapsed="false">
      <c r="A6" s="169" t="n">
        <v>1</v>
      </c>
      <c r="B6" s="169" t="s">
        <v>3662</v>
      </c>
      <c r="C6" s="170" t="s">
        <v>3663</v>
      </c>
      <c r="D6" s="171" t="s">
        <v>3664</v>
      </c>
      <c r="E6" s="172" t="s">
        <v>3665</v>
      </c>
      <c r="F6" s="173" t="s">
        <v>3666</v>
      </c>
      <c r="G6" s="171" t="s">
        <v>3667</v>
      </c>
      <c r="H6" s="174" t="s">
        <v>3668</v>
      </c>
    </row>
    <row r="7" customFormat="false" ht="69.75" hidden="false" customHeight="true" outlineLevel="0" collapsed="false">
      <c r="A7" s="169" t="n">
        <v>2</v>
      </c>
      <c r="B7" s="169" t="s">
        <v>3669</v>
      </c>
      <c r="C7" s="170" t="s">
        <v>3670</v>
      </c>
      <c r="D7" s="175" t="s">
        <v>3671</v>
      </c>
      <c r="E7" s="176" t="s">
        <v>3672</v>
      </c>
      <c r="F7" s="176" t="s">
        <v>3673</v>
      </c>
      <c r="G7" s="175" t="s">
        <v>3674</v>
      </c>
      <c r="H7" s="177" t="s">
        <v>3675</v>
      </c>
    </row>
    <row r="8" customFormat="false" ht="60" hidden="false" customHeight="true" outlineLevel="0" collapsed="false">
      <c r="A8" s="169" t="n">
        <v>3</v>
      </c>
      <c r="B8" s="169" t="s">
        <v>3676</v>
      </c>
      <c r="C8" s="170" t="s">
        <v>3677</v>
      </c>
      <c r="D8" s="175" t="s">
        <v>3678</v>
      </c>
      <c r="E8" s="176" t="s">
        <v>3679</v>
      </c>
      <c r="F8" s="176" t="s">
        <v>3673</v>
      </c>
      <c r="G8" s="175" t="s">
        <v>3680</v>
      </c>
      <c r="H8" s="177" t="s">
        <v>3681</v>
      </c>
    </row>
    <row r="9" customFormat="false" ht="60" hidden="false" customHeight="true" outlineLevel="0" collapsed="false">
      <c r="A9" s="178" t="n">
        <v>1</v>
      </c>
      <c r="B9" s="178"/>
      <c r="C9" s="116"/>
      <c r="D9" s="116"/>
      <c r="E9" s="116"/>
      <c r="F9" s="116"/>
      <c r="G9" s="116"/>
      <c r="H9" s="116"/>
    </row>
    <row r="10" customFormat="false" ht="60" hidden="false" customHeight="true" outlineLevel="0" collapsed="false">
      <c r="A10" s="129" t="n">
        <v>2</v>
      </c>
      <c r="B10" s="129"/>
      <c r="C10" s="114"/>
      <c r="D10" s="114"/>
      <c r="E10" s="114"/>
      <c r="F10" s="114"/>
      <c r="G10" s="114"/>
      <c r="H10" s="114"/>
    </row>
    <row r="11" customFormat="false" ht="60" hidden="false" customHeight="true" outlineLevel="0" collapsed="false">
      <c r="A11" s="178" t="n">
        <v>3</v>
      </c>
      <c r="B11" s="178"/>
      <c r="C11" s="116"/>
      <c r="D11" s="116"/>
      <c r="E11" s="116"/>
      <c r="F11" s="116"/>
      <c r="G11" s="116"/>
      <c r="H11" s="116"/>
    </row>
    <row r="12" customFormat="false" ht="60" hidden="false" customHeight="true" outlineLevel="0" collapsed="false">
      <c r="A12" s="129" t="n">
        <v>4</v>
      </c>
      <c r="B12" s="129"/>
      <c r="C12" s="114"/>
      <c r="D12" s="114"/>
      <c r="E12" s="114"/>
      <c r="F12" s="114"/>
      <c r="G12" s="114"/>
      <c r="H12" s="114"/>
    </row>
    <row r="13" customFormat="false" ht="60" hidden="false" customHeight="true" outlineLevel="0" collapsed="false">
      <c r="A13" s="178" t="n">
        <v>5</v>
      </c>
      <c r="B13" s="178"/>
      <c r="C13" s="116"/>
      <c r="D13" s="116"/>
      <c r="E13" s="116"/>
      <c r="F13" s="116"/>
      <c r="G13" s="116"/>
      <c r="H13" s="116"/>
    </row>
    <row r="14" customFormat="false" ht="60" hidden="false" customHeight="true" outlineLevel="0" collapsed="false">
      <c r="A14" s="129" t="n">
        <v>6</v>
      </c>
      <c r="B14" s="129"/>
      <c r="C14" s="114"/>
      <c r="D14" s="114"/>
      <c r="E14" s="114"/>
      <c r="F14" s="114"/>
      <c r="G14" s="114"/>
      <c r="H14" s="114"/>
    </row>
    <row r="15" customFormat="false" ht="60" hidden="false" customHeight="true" outlineLevel="0" collapsed="false">
      <c r="A15" s="178" t="n">
        <v>7</v>
      </c>
      <c r="B15" s="178"/>
      <c r="C15" s="116"/>
      <c r="D15" s="116"/>
      <c r="E15" s="116"/>
      <c r="F15" s="116"/>
      <c r="G15" s="116"/>
      <c r="H15" s="116"/>
    </row>
    <row r="16" customFormat="false" ht="60" hidden="false" customHeight="true" outlineLevel="0" collapsed="false">
      <c r="A16" s="129" t="n">
        <v>8</v>
      </c>
      <c r="B16" s="129"/>
      <c r="C16" s="114"/>
      <c r="D16" s="114"/>
      <c r="E16" s="114"/>
      <c r="F16" s="114"/>
      <c r="G16" s="114"/>
      <c r="H16" s="114"/>
    </row>
    <row r="17" customFormat="false" ht="60" hidden="false" customHeight="true" outlineLevel="0" collapsed="false">
      <c r="A17" s="178" t="n">
        <v>9</v>
      </c>
      <c r="B17" s="178"/>
      <c r="C17" s="116"/>
      <c r="D17" s="116"/>
      <c r="E17" s="116"/>
      <c r="F17" s="116"/>
      <c r="G17" s="116"/>
      <c r="H17" s="116"/>
    </row>
    <row r="18" customFormat="false" ht="60" hidden="false" customHeight="true" outlineLevel="0" collapsed="false">
      <c r="A18" s="129" t="n">
        <v>10</v>
      </c>
      <c r="B18" s="129"/>
      <c r="C18" s="114"/>
      <c r="D18" s="114"/>
      <c r="E18" s="114"/>
      <c r="F18" s="114"/>
      <c r="G18" s="114"/>
      <c r="H18" s="114"/>
    </row>
    <row r="19" customFormat="false" ht="60" hidden="false" customHeight="true" outlineLevel="0" collapsed="false">
      <c r="A19" s="178" t="n">
        <v>11</v>
      </c>
      <c r="B19" s="178"/>
      <c r="C19" s="116"/>
      <c r="D19" s="116"/>
      <c r="E19" s="116"/>
      <c r="F19" s="116"/>
      <c r="G19" s="116"/>
      <c r="H19" s="116"/>
    </row>
    <row r="20" customFormat="false" ht="60" hidden="false" customHeight="true" outlineLevel="0" collapsed="false">
      <c r="A20" s="129" t="n">
        <v>12</v>
      </c>
      <c r="B20" s="129"/>
      <c r="C20" s="114"/>
      <c r="D20" s="114"/>
      <c r="E20" s="114"/>
      <c r="F20" s="114"/>
      <c r="G20" s="114"/>
      <c r="H20" s="114"/>
    </row>
    <row r="21" customFormat="false" ht="60" hidden="false" customHeight="true" outlineLevel="0" collapsed="false">
      <c r="A21" s="178" t="n">
        <v>13</v>
      </c>
      <c r="B21" s="178"/>
      <c r="C21" s="116"/>
      <c r="D21" s="116"/>
      <c r="E21" s="116"/>
      <c r="F21" s="116"/>
      <c r="G21" s="116"/>
      <c r="H21" s="116"/>
    </row>
    <row r="22" customFormat="false" ht="60" hidden="false" customHeight="true" outlineLevel="0" collapsed="false">
      <c r="A22" s="129" t="n">
        <v>14</v>
      </c>
      <c r="B22" s="129"/>
      <c r="C22" s="114"/>
      <c r="D22" s="114"/>
      <c r="E22" s="114"/>
      <c r="F22" s="114"/>
      <c r="G22" s="114"/>
      <c r="H22" s="114"/>
    </row>
    <row r="23" customFormat="false" ht="60" hidden="false" customHeight="true" outlineLevel="0" collapsed="false">
      <c r="A23" s="178" t="n">
        <v>15</v>
      </c>
      <c r="B23" s="178"/>
      <c r="C23" s="116"/>
      <c r="D23" s="116"/>
      <c r="E23" s="116"/>
      <c r="F23" s="116"/>
      <c r="G23" s="116"/>
      <c r="H23" s="116"/>
    </row>
    <row r="24" customFormat="false" ht="60" hidden="false" customHeight="true" outlineLevel="0" collapsed="false">
      <c r="A24" s="129" t="n">
        <v>16</v>
      </c>
      <c r="B24" s="129"/>
      <c r="C24" s="114"/>
      <c r="D24" s="114"/>
      <c r="E24" s="114"/>
      <c r="F24" s="114"/>
      <c r="G24" s="114"/>
      <c r="H24" s="114"/>
    </row>
    <row r="25" customFormat="false" ht="60" hidden="false" customHeight="true" outlineLevel="0" collapsed="false">
      <c r="A25" s="178" t="n">
        <v>17</v>
      </c>
      <c r="B25" s="178"/>
      <c r="C25" s="116"/>
      <c r="D25" s="116"/>
      <c r="E25" s="116"/>
      <c r="F25" s="116"/>
      <c r="G25" s="116"/>
      <c r="H25" s="116"/>
    </row>
    <row r="26" customFormat="false" ht="60" hidden="false" customHeight="true" outlineLevel="0" collapsed="false">
      <c r="A26" s="129" t="n">
        <v>18</v>
      </c>
      <c r="B26" s="129"/>
      <c r="C26" s="114"/>
      <c r="D26" s="114"/>
      <c r="E26" s="114"/>
      <c r="F26" s="114"/>
      <c r="G26" s="114"/>
      <c r="H26" s="114"/>
    </row>
    <row r="27" customFormat="false" ht="60" hidden="false" customHeight="true" outlineLevel="0" collapsed="false">
      <c r="A27" s="178" t="n">
        <v>19</v>
      </c>
      <c r="B27" s="178"/>
      <c r="C27" s="116"/>
      <c r="D27" s="116"/>
      <c r="E27" s="116"/>
      <c r="F27" s="116"/>
      <c r="G27" s="116"/>
      <c r="H27" s="116"/>
    </row>
    <row r="28" customFormat="false" ht="60" hidden="false" customHeight="true" outlineLevel="0" collapsed="false">
      <c r="A28" s="129" t="n">
        <v>20</v>
      </c>
      <c r="B28" s="129"/>
      <c r="C28" s="114"/>
      <c r="D28" s="114"/>
      <c r="E28" s="114"/>
      <c r="F28" s="114"/>
      <c r="G28" s="114"/>
      <c r="H28" s="114"/>
    </row>
    <row r="29" customFormat="false" ht="60" hidden="false" customHeight="true" outlineLevel="0" collapsed="false">
      <c r="A29" s="178" t="n">
        <v>21</v>
      </c>
      <c r="B29" s="178"/>
      <c r="C29" s="116"/>
      <c r="D29" s="116"/>
      <c r="E29" s="116"/>
      <c r="F29" s="116"/>
      <c r="G29" s="116"/>
      <c r="H29" s="116"/>
    </row>
    <row r="30" customFormat="false" ht="60" hidden="false" customHeight="true" outlineLevel="0" collapsed="false">
      <c r="A30" s="129" t="n">
        <v>22</v>
      </c>
      <c r="B30" s="129"/>
      <c r="C30" s="114"/>
      <c r="D30" s="114"/>
      <c r="E30" s="114"/>
      <c r="F30" s="114"/>
      <c r="G30" s="114"/>
      <c r="H30" s="114"/>
    </row>
    <row r="31" customFormat="false" ht="60" hidden="false" customHeight="true" outlineLevel="0" collapsed="false">
      <c r="A31" s="178" t="n">
        <v>23</v>
      </c>
      <c r="B31" s="178"/>
      <c r="C31" s="116"/>
      <c r="D31" s="116"/>
      <c r="E31" s="116"/>
      <c r="F31" s="116"/>
      <c r="G31" s="116"/>
      <c r="H31" s="116"/>
    </row>
    <row r="32" customFormat="false" ht="60" hidden="false" customHeight="true" outlineLevel="0" collapsed="false">
      <c r="A32" s="129" t="n">
        <v>24</v>
      </c>
      <c r="B32" s="129"/>
      <c r="C32" s="114"/>
      <c r="D32" s="114"/>
      <c r="E32" s="114"/>
      <c r="F32" s="114"/>
      <c r="G32" s="114"/>
      <c r="H32" s="114"/>
    </row>
    <row r="33" customFormat="false" ht="60" hidden="false" customHeight="true" outlineLevel="0" collapsed="false">
      <c r="A33" s="178" t="n">
        <v>25</v>
      </c>
      <c r="B33" s="178"/>
      <c r="C33" s="116"/>
      <c r="D33" s="116"/>
      <c r="E33" s="116"/>
      <c r="F33" s="116"/>
      <c r="G33" s="116"/>
      <c r="H33" s="116"/>
    </row>
    <row r="34" customFormat="false" ht="60" hidden="false" customHeight="true" outlineLevel="0" collapsed="false">
      <c r="A34" s="129" t="n">
        <v>26</v>
      </c>
      <c r="B34" s="129"/>
      <c r="C34" s="114"/>
      <c r="D34" s="114"/>
      <c r="E34" s="114"/>
      <c r="F34" s="114"/>
      <c r="G34" s="114"/>
      <c r="H34" s="114"/>
    </row>
    <row r="35" customFormat="false" ht="60" hidden="false" customHeight="true" outlineLevel="0" collapsed="false">
      <c r="A35" s="178" t="n">
        <v>27</v>
      </c>
      <c r="B35" s="178"/>
      <c r="C35" s="116"/>
      <c r="D35" s="116"/>
      <c r="E35" s="116"/>
      <c r="F35" s="116"/>
      <c r="G35" s="116"/>
      <c r="H35" s="116"/>
    </row>
    <row r="36" customFormat="false" ht="60" hidden="false" customHeight="true" outlineLevel="0" collapsed="false">
      <c r="A36" s="129" t="n">
        <v>28</v>
      </c>
      <c r="B36" s="129"/>
      <c r="C36" s="114"/>
      <c r="D36" s="114"/>
      <c r="E36" s="114"/>
      <c r="F36" s="114"/>
      <c r="G36" s="114"/>
      <c r="H36" s="114"/>
    </row>
    <row r="37" customFormat="false" ht="60" hidden="false" customHeight="true" outlineLevel="0" collapsed="false">
      <c r="A37" s="178" t="n">
        <v>29</v>
      </c>
      <c r="B37" s="178"/>
      <c r="C37" s="116"/>
      <c r="D37" s="116"/>
      <c r="E37" s="116"/>
      <c r="F37" s="116"/>
      <c r="G37" s="116"/>
      <c r="H37" s="116"/>
    </row>
    <row r="38" customFormat="false" ht="60" hidden="false" customHeight="true" outlineLevel="0" collapsed="false">
      <c r="A38" s="129" t="n">
        <v>30</v>
      </c>
      <c r="B38" s="129"/>
      <c r="C38" s="114"/>
      <c r="D38" s="114"/>
      <c r="E38" s="114"/>
      <c r="F38" s="114"/>
      <c r="G38" s="114"/>
      <c r="H38" s="114"/>
    </row>
    <row r="39" customFormat="false" ht="60" hidden="false" customHeight="true" outlineLevel="0" collapsed="false">
      <c r="A39" s="178" t="n">
        <v>31</v>
      </c>
      <c r="B39" s="178"/>
      <c r="C39" s="116"/>
      <c r="D39" s="116"/>
      <c r="E39" s="116"/>
      <c r="F39" s="116"/>
      <c r="G39" s="116"/>
      <c r="H39" s="116"/>
    </row>
    <row r="40" customFormat="false" ht="60" hidden="false" customHeight="true" outlineLevel="0" collapsed="false">
      <c r="A40" s="129" t="n">
        <v>32</v>
      </c>
      <c r="B40" s="129"/>
      <c r="C40" s="114"/>
      <c r="D40" s="114"/>
      <c r="E40" s="114"/>
      <c r="F40" s="114"/>
      <c r="G40" s="114"/>
      <c r="H40" s="114"/>
    </row>
    <row r="41" customFormat="false" ht="15" hidden="false" customHeight="true" outlineLevel="0" collapsed="false">
      <c r="A41" s="178" t="n">
        <v>33</v>
      </c>
      <c r="B41" s="178"/>
      <c r="C41" s="116"/>
      <c r="D41" s="116"/>
      <c r="E41" s="116"/>
      <c r="F41" s="116"/>
      <c r="G41" s="116"/>
      <c r="H41" s="116"/>
    </row>
  </sheetData>
  <mergeCells count="3">
    <mergeCell ref="A2:H2"/>
    <mergeCell ref="A3:H3"/>
    <mergeCell ref="A5:H5"/>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tru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70"/>
  </cols>
  <sheetData>
    <row r="1" customFormat="false" ht="18" hidden="false" customHeight="true" outlineLevel="0" collapsed="false">
      <c r="A1" s="78" t="s">
        <v>56</v>
      </c>
      <c r="B1" s="2"/>
      <c r="C1" s="2"/>
    </row>
    <row r="2" customFormat="false" ht="34.5" hidden="false" customHeight="true" outlineLevel="0" collapsed="false">
      <c r="B2" s="111" t="s">
        <v>3682</v>
      </c>
      <c r="C2" s="111"/>
    </row>
    <row r="3" customFormat="false" ht="15" hidden="false" customHeight="true" outlineLevel="0" collapsed="false">
      <c r="B3" s="179" t="s">
        <v>3683</v>
      </c>
      <c r="C3" s="179"/>
    </row>
    <row r="4" customFormat="false" ht="19.5" hidden="false" customHeight="true" outlineLevel="0" collapsed="false">
      <c r="B4" s="180" t="s">
        <v>3684</v>
      </c>
      <c r="C4" s="180"/>
    </row>
    <row r="5" customFormat="false" ht="49.5" hidden="false" customHeight="true" outlineLevel="0" collapsed="false">
      <c r="B5" s="181" t="s">
        <v>3685</v>
      </c>
    </row>
    <row r="6" customFormat="false" ht="49.5" hidden="false" customHeight="true" outlineLevel="0" collapsed="false">
      <c r="B6" s="182" t="s">
        <v>3686</v>
      </c>
      <c r="C6" s="183"/>
    </row>
    <row r="7" customFormat="false" ht="49.5" hidden="false" customHeight="true" outlineLevel="0" collapsed="false">
      <c r="B7" s="182" t="s">
        <v>3687</v>
      </c>
      <c r="C7" s="183"/>
    </row>
    <row r="8" customFormat="false" ht="15" hidden="false" customHeight="true" outlineLevel="0" collapsed="false">
      <c r="B8" s="182" t="s">
        <v>3688</v>
      </c>
      <c r="C8" s="183"/>
    </row>
    <row r="11" customFormat="false" ht="24.75" hidden="false" customHeight="true" outlineLevel="0" collapsed="false"/>
    <row r="12" customFormat="false" ht="49.5" hidden="false" customHeight="true" outlineLevel="0" collapsed="false">
      <c r="B12" s="184" t="s">
        <v>3689</v>
      </c>
      <c r="C12" s="184"/>
    </row>
    <row r="13" customFormat="false" ht="49.5" hidden="false" customHeight="true" outlineLevel="0" collapsed="false">
      <c r="B13" s="182" t="s">
        <v>3690</v>
      </c>
      <c r="C13" s="183"/>
    </row>
    <row r="14" customFormat="false" ht="49.5" hidden="false" customHeight="true" outlineLevel="0" collapsed="false">
      <c r="B14" s="182" t="s">
        <v>3691</v>
      </c>
      <c r="C14" s="183"/>
    </row>
    <row r="15" customFormat="false" ht="23.25" hidden="false" customHeight="true" outlineLevel="0" collapsed="false">
      <c r="B15" s="182" t="s">
        <v>3692</v>
      </c>
      <c r="C15" s="183"/>
    </row>
    <row r="18" customFormat="false" ht="24.75" hidden="false" customHeight="true" outlineLevel="0" collapsed="false"/>
    <row r="19" customFormat="false" ht="49.5" hidden="false" customHeight="true" outlineLevel="0" collapsed="false">
      <c r="B19" s="184" t="s">
        <v>3693</v>
      </c>
      <c r="C19" s="184"/>
    </row>
    <row r="20" customFormat="false" ht="49.5" hidden="false" customHeight="true" outlineLevel="0" collapsed="false">
      <c r="B20" s="182" t="s">
        <v>3694</v>
      </c>
      <c r="C20" s="183"/>
    </row>
    <row r="21" customFormat="false" ht="49.5" hidden="false" customHeight="true" outlineLevel="0" collapsed="false">
      <c r="B21" s="182" t="s">
        <v>3695</v>
      </c>
      <c r="C21" s="183"/>
    </row>
    <row r="22" customFormat="false" ht="23.25" hidden="false" customHeight="true" outlineLevel="0" collapsed="false">
      <c r="B22" s="182" t="s">
        <v>3696</v>
      </c>
      <c r="C22" s="183"/>
    </row>
    <row r="25" customFormat="false" ht="24.75" hidden="false" customHeight="true" outlineLevel="0" collapsed="false"/>
    <row r="26" customFormat="false" ht="49.5" hidden="false" customHeight="true" outlineLevel="0" collapsed="false">
      <c r="B26" s="184" t="s">
        <v>3697</v>
      </c>
      <c r="C26" s="184"/>
    </row>
    <row r="27" customFormat="false" ht="49.5" hidden="false" customHeight="true" outlineLevel="0" collapsed="false">
      <c r="B27" s="182" t="s">
        <v>3698</v>
      </c>
      <c r="C27" s="183"/>
    </row>
    <row r="28" customFormat="false" ht="49.5" hidden="false" customHeight="true" outlineLevel="0" collapsed="false">
      <c r="B28" s="182" t="s">
        <v>3699</v>
      </c>
      <c r="C28" s="183"/>
    </row>
    <row r="29" customFormat="false" ht="15" hidden="false" customHeight="true" outlineLevel="0" collapsed="false">
      <c r="B29" s="182" t="s">
        <v>3700</v>
      </c>
      <c r="C29" s="183"/>
    </row>
  </sheetData>
  <mergeCells count="6">
    <mergeCell ref="B2:C2"/>
    <mergeCell ref="B3:C3"/>
    <mergeCell ref="B4:C4"/>
    <mergeCell ref="B12:C12"/>
    <mergeCell ref="B19:C19"/>
    <mergeCell ref="B26:C26"/>
  </mergeCells>
  <hyperlinks>
    <hyperlink ref="A1" location="'🏠 TRANG CHỦ'!A1" display="⬅ Về Trang chủ"/>
  </hyperlink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42"/>
    <col collapsed="false" customWidth="true" hidden="false" outlineLevel="0" max="4" min="4" style="1" width="40"/>
    <col collapsed="false" customWidth="true" hidden="false" outlineLevel="0" max="5" min="5" style="1" width="42"/>
  </cols>
  <sheetData>
    <row r="1" customFormat="false" ht="15" hidden="false" customHeight="true" outlineLevel="0" collapsed="false">
      <c r="A1" s="78" t="s">
        <v>56</v>
      </c>
    </row>
    <row r="2" customFormat="false" ht="15.75" hidden="false" customHeight="true" outlineLevel="0" collapsed="false">
      <c r="A2" s="111" t="s">
        <v>3701</v>
      </c>
      <c r="B2" s="111"/>
      <c r="C2" s="111"/>
      <c r="D2" s="111"/>
      <c r="E2" s="111"/>
    </row>
    <row r="3" customFormat="false" ht="24" hidden="false" customHeight="true" outlineLevel="0" collapsed="false">
      <c r="A3" s="118" t="s">
        <v>3702</v>
      </c>
      <c r="B3" s="118"/>
      <c r="C3" s="118"/>
      <c r="D3" s="118"/>
      <c r="E3" s="118"/>
    </row>
    <row r="5" customFormat="false" ht="15" hidden="false" customHeight="true" outlineLevel="0" collapsed="false">
      <c r="A5" s="55" t="s">
        <v>3703</v>
      </c>
      <c r="B5" s="55" t="s">
        <v>3704</v>
      </c>
      <c r="C5" s="55" t="s">
        <v>3705</v>
      </c>
      <c r="D5" s="55" t="s">
        <v>3706</v>
      </c>
      <c r="E5" s="55" t="s">
        <v>3707</v>
      </c>
    </row>
    <row r="6" customFormat="false" ht="69.75" hidden="false" customHeight="true" outlineLevel="0" collapsed="false">
      <c r="A6" s="97" t="s">
        <v>3708</v>
      </c>
      <c r="B6" s="185" t="s">
        <v>3709</v>
      </c>
      <c r="C6" s="98" t="s">
        <v>3710</v>
      </c>
      <c r="D6" s="98" t="s">
        <v>3711</v>
      </c>
      <c r="E6" s="98" t="s">
        <v>3712</v>
      </c>
    </row>
    <row r="7" customFormat="false" ht="69.75" hidden="false" customHeight="true" outlineLevel="0" collapsed="false">
      <c r="A7" s="97" t="s">
        <v>3713</v>
      </c>
      <c r="B7" s="186" t="s">
        <v>3714</v>
      </c>
      <c r="C7" s="98" t="s">
        <v>3715</v>
      </c>
      <c r="D7" s="98" t="s">
        <v>3716</v>
      </c>
      <c r="E7" s="98" t="s">
        <v>3717</v>
      </c>
    </row>
    <row r="8" customFormat="false" ht="69.75" hidden="false" customHeight="true" outlineLevel="0" collapsed="false">
      <c r="A8" s="97" t="s">
        <v>3718</v>
      </c>
      <c r="B8" s="186" t="s">
        <v>3714</v>
      </c>
      <c r="C8" s="98" t="s">
        <v>3719</v>
      </c>
      <c r="D8" s="98" t="s">
        <v>3720</v>
      </c>
      <c r="E8" s="98" t="s">
        <v>3721</v>
      </c>
    </row>
    <row r="9" customFormat="false" ht="69.75" hidden="false" customHeight="true" outlineLevel="0" collapsed="false">
      <c r="A9" s="97" t="s">
        <v>3722</v>
      </c>
      <c r="B9" s="186" t="s">
        <v>3714</v>
      </c>
      <c r="C9" s="98" t="s">
        <v>3723</v>
      </c>
      <c r="D9" s="98" t="s">
        <v>3724</v>
      </c>
      <c r="E9" s="98" t="s">
        <v>3725</v>
      </c>
    </row>
    <row r="10" customFormat="false" ht="69.75" hidden="false" customHeight="true" outlineLevel="0" collapsed="false">
      <c r="A10" s="97" t="s">
        <v>3726</v>
      </c>
      <c r="B10" s="185" t="s">
        <v>3709</v>
      </c>
      <c r="C10" s="98" t="s">
        <v>3727</v>
      </c>
      <c r="D10" s="98" t="s">
        <v>3728</v>
      </c>
      <c r="E10" s="98" t="s">
        <v>3729</v>
      </c>
    </row>
    <row r="11" customFormat="false" ht="69.75" hidden="false" customHeight="true" outlineLevel="0" collapsed="false">
      <c r="A11" s="97" t="s">
        <v>3730</v>
      </c>
      <c r="B11" s="185" t="s">
        <v>3709</v>
      </c>
      <c r="C11" s="98" t="s">
        <v>3731</v>
      </c>
      <c r="D11" s="98" t="s">
        <v>3732</v>
      </c>
      <c r="E11" s="98" t="s">
        <v>3733</v>
      </c>
    </row>
    <row r="12" customFormat="false" ht="69.75" hidden="false" customHeight="true" outlineLevel="0" collapsed="false">
      <c r="A12" s="97" t="s">
        <v>3734</v>
      </c>
      <c r="B12" s="185" t="s">
        <v>3709</v>
      </c>
      <c r="C12" s="98" t="s">
        <v>3735</v>
      </c>
      <c r="D12" s="98" t="s">
        <v>3736</v>
      </c>
      <c r="E12" s="98" t="s">
        <v>3737</v>
      </c>
    </row>
    <row r="13" customFormat="false" ht="69.75" hidden="false" customHeight="true" outlineLevel="0" collapsed="false">
      <c r="A13" s="97" t="s">
        <v>3738</v>
      </c>
      <c r="B13" s="186" t="s">
        <v>3714</v>
      </c>
      <c r="C13" s="98" t="s">
        <v>3739</v>
      </c>
      <c r="D13" s="98" t="s">
        <v>3740</v>
      </c>
      <c r="E13" s="98" t="s">
        <v>3741</v>
      </c>
    </row>
    <row r="15" customFormat="false" ht="15" hidden="false" customHeight="true" outlineLevel="0" collapsed="false">
      <c r="A15" s="187" t="s">
        <v>3742</v>
      </c>
      <c r="B15" s="187"/>
      <c r="C15" s="187"/>
      <c r="D15" s="187"/>
      <c r="E15" s="187"/>
    </row>
    <row r="16" customFormat="false" ht="75" hidden="false" customHeight="true" outlineLevel="0" collapsed="false">
      <c r="A16" s="188" t="s">
        <v>3743</v>
      </c>
      <c r="B16" s="188"/>
      <c r="C16" s="188"/>
      <c r="D16" s="188"/>
      <c r="E16" s="188"/>
    </row>
  </sheetData>
  <mergeCells count="4">
    <mergeCell ref="A2:E2"/>
    <mergeCell ref="A3:E3"/>
    <mergeCell ref="A15:E15"/>
    <mergeCell ref="A16:E16"/>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4" min="2" style="1" width="14"/>
    <col collapsed="false" customWidth="true" hidden="false" outlineLevel="0" max="6" min="5" style="1" width="18"/>
  </cols>
  <sheetData>
    <row r="1" customFormat="false" ht="15" hidden="false" customHeight="true" outlineLevel="0" collapsed="false">
      <c r="A1" s="78" t="s">
        <v>56</v>
      </c>
    </row>
    <row r="2" customFormat="false" ht="15.75" hidden="false" customHeight="true" outlineLevel="0" collapsed="false">
      <c r="A2" s="111" t="s">
        <v>3744</v>
      </c>
      <c r="B2" s="111"/>
      <c r="C2" s="111"/>
      <c r="D2" s="111"/>
      <c r="E2" s="111"/>
      <c r="F2" s="111"/>
    </row>
    <row r="3" customFormat="false" ht="15" hidden="false" customHeight="true" outlineLevel="0" collapsed="false">
      <c r="A3" s="189" t="s">
        <v>3745</v>
      </c>
      <c r="B3" s="189"/>
      <c r="C3" s="189"/>
      <c r="D3" s="189"/>
      <c r="E3" s="189"/>
      <c r="F3" s="189"/>
    </row>
    <row r="5" customFormat="false" ht="21.75" hidden="false" customHeight="true" outlineLevel="0" collapsed="false">
      <c r="A5" s="55" t="s">
        <v>3746</v>
      </c>
      <c r="B5" s="55" t="s">
        <v>3747</v>
      </c>
      <c r="C5" s="55" t="s">
        <v>3748</v>
      </c>
      <c r="D5" s="55" t="s">
        <v>3749</v>
      </c>
      <c r="E5" s="55" t="s">
        <v>3750</v>
      </c>
      <c r="F5" s="55" t="s">
        <v>3751</v>
      </c>
    </row>
    <row r="6" customFormat="false" ht="15" hidden="false" customHeight="true" outlineLevel="0" collapsed="false">
      <c r="A6" s="190" t="s">
        <v>3752</v>
      </c>
      <c r="B6" s="191" t="s">
        <v>3753</v>
      </c>
      <c r="C6" s="191" t="s">
        <v>3753</v>
      </c>
      <c r="D6" s="191" t="s">
        <v>3753</v>
      </c>
      <c r="E6" s="191" t="s">
        <v>3753</v>
      </c>
      <c r="F6" s="191" t="s">
        <v>3753</v>
      </c>
    </row>
    <row r="7" customFormat="false" ht="15" hidden="false" customHeight="true" outlineLevel="0" collapsed="false">
      <c r="A7" s="190" t="s">
        <v>3754</v>
      </c>
      <c r="B7" s="191" t="s">
        <v>3755</v>
      </c>
      <c r="C7" s="192" t="s">
        <v>3756</v>
      </c>
      <c r="D7" s="191" t="s">
        <v>3753</v>
      </c>
      <c r="E7" s="191" t="s">
        <v>3755</v>
      </c>
      <c r="F7" s="192" t="s">
        <v>3756</v>
      </c>
    </row>
    <row r="8" customFormat="false" ht="15" hidden="false" customHeight="true" outlineLevel="0" collapsed="false">
      <c r="A8" s="190" t="s">
        <v>3757</v>
      </c>
      <c r="B8" s="192" t="s">
        <v>3756</v>
      </c>
      <c r="C8" s="192" t="s">
        <v>3756</v>
      </c>
      <c r="D8" s="191" t="s">
        <v>3753</v>
      </c>
      <c r="E8" s="191" t="s">
        <v>3755</v>
      </c>
      <c r="F8" s="191" t="s">
        <v>3755</v>
      </c>
    </row>
    <row r="9" customFormat="false" ht="15" hidden="false" customHeight="true" outlineLevel="0" collapsed="false">
      <c r="A9" s="190" t="s">
        <v>3758</v>
      </c>
      <c r="B9" s="191" t="s">
        <v>3755</v>
      </c>
      <c r="C9" s="191" t="s">
        <v>3753</v>
      </c>
      <c r="D9" s="192" t="s">
        <v>3756</v>
      </c>
      <c r="E9" s="191" t="s">
        <v>3753</v>
      </c>
      <c r="F9" s="191" t="s">
        <v>3753</v>
      </c>
    </row>
    <row r="10" customFormat="false" ht="15" hidden="false" customHeight="true" outlineLevel="0" collapsed="false">
      <c r="A10" s="190" t="s">
        <v>3759</v>
      </c>
      <c r="B10" s="192" t="s">
        <v>3756</v>
      </c>
      <c r="C10" s="191" t="s">
        <v>3755</v>
      </c>
      <c r="D10" s="192" t="s">
        <v>3756</v>
      </c>
      <c r="E10" s="192" t="s">
        <v>3756</v>
      </c>
      <c r="F10" s="192" t="s">
        <v>3756</v>
      </c>
    </row>
    <row r="11" customFormat="false" ht="15" hidden="false" customHeight="true" outlineLevel="0" collapsed="false">
      <c r="A11" s="190" t="s">
        <v>3760</v>
      </c>
      <c r="B11" s="191" t="s">
        <v>3755</v>
      </c>
      <c r="C11" s="191" t="s">
        <v>3753</v>
      </c>
      <c r="D11" s="192" t="s">
        <v>3756</v>
      </c>
      <c r="E11" s="192" t="s">
        <v>3756</v>
      </c>
      <c r="F11" s="191" t="s">
        <v>3755</v>
      </c>
    </row>
    <row r="12" customFormat="false" ht="15" hidden="false" customHeight="true" outlineLevel="0" collapsed="false">
      <c r="A12" s="190" t="s">
        <v>3761</v>
      </c>
      <c r="B12" s="191" t="s">
        <v>3755</v>
      </c>
      <c r="C12" s="191" t="s">
        <v>3753</v>
      </c>
      <c r="D12" s="192" t="s">
        <v>3756</v>
      </c>
      <c r="E12" s="191" t="s">
        <v>3755</v>
      </c>
      <c r="F12" s="191" t="s">
        <v>3753</v>
      </c>
    </row>
    <row r="13" customFormat="false" ht="15" hidden="false" customHeight="true" outlineLevel="0" collapsed="false">
      <c r="A13" s="190" t="s">
        <v>3762</v>
      </c>
      <c r="B13" s="191" t="s">
        <v>3753</v>
      </c>
      <c r="C13" s="191" t="s">
        <v>3753</v>
      </c>
      <c r="D13" s="191" t="s">
        <v>3753</v>
      </c>
      <c r="E13" s="191" t="s">
        <v>3755</v>
      </c>
      <c r="F13" s="192" t="s">
        <v>3756</v>
      </c>
    </row>
    <row r="14" customFormat="false" ht="15" hidden="false" customHeight="true" outlineLevel="0" collapsed="false">
      <c r="A14" s="190" t="s">
        <v>3763</v>
      </c>
      <c r="B14" s="192" t="s">
        <v>3756</v>
      </c>
      <c r="C14" s="191" t="s">
        <v>3753</v>
      </c>
      <c r="D14" s="192" t="s">
        <v>3756</v>
      </c>
      <c r="E14" s="191" t="s">
        <v>3753</v>
      </c>
      <c r="F14" s="191" t="s">
        <v>3753</v>
      </c>
    </row>
    <row r="15" customFormat="false" ht="15" hidden="false" customHeight="true" outlineLevel="0" collapsed="false">
      <c r="A15" s="190" t="s">
        <v>3764</v>
      </c>
      <c r="B15" s="192" t="s">
        <v>3756</v>
      </c>
      <c r="C15" s="191" t="s">
        <v>3753</v>
      </c>
      <c r="D15" s="192" t="s">
        <v>3756</v>
      </c>
      <c r="E15" s="191" t="s">
        <v>3755</v>
      </c>
      <c r="F15" s="191" t="s">
        <v>3753</v>
      </c>
    </row>
    <row r="16" customFormat="false" ht="15" hidden="false" customHeight="true" outlineLevel="0" collapsed="false">
      <c r="A16" s="190" t="s">
        <v>3765</v>
      </c>
      <c r="B16" s="191" t="s">
        <v>3753</v>
      </c>
      <c r="C16" s="191" t="s">
        <v>3755</v>
      </c>
      <c r="D16" s="191" t="s">
        <v>3755</v>
      </c>
      <c r="E16" s="192" t="s">
        <v>3756</v>
      </c>
      <c r="F16" s="191" t="s">
        <v>3753</v>
      </c>
    </row>
    <row r="17" customFormat="false" ht="15" hidden="false" customHeight="true" outlineLevel="0" collapsed="false">
      <c r="A17" s="190" t="s">
        <v>3766</v>
      </c>
      <c r="B17" s="191" t="s">
        <v>3753</v>
      </c>
      <c r="C17" s="191" t="s">
        <v>3755</v>
      </c>
      <c r="D17" s="191" t="s">
        <v>3753</v>
      </c>
      <c r="E17" s="192" t="s">
        <v>3756</v>
      </c>
      <c r="F17" s="191" t="s">
        <v>3753</v>
      </c>
    </row>
    <row r="18" customFormat="false" ht="15" hidden="false" customHeight="true" outlineLevel="0" collapsed="false">
      <c r="A18" s="190" t="s">
        <v>3767</v>
      </c>
      <c r="B18" s="191" t="s">
        <v>3755</v>
      </c>
      <c r="C18" s="192" t="s">
        <v>3756</v>
      </c>
      <c r="D18" s="192" t="s">
        <v>3756</v>
      </c>
      <c r="E18" s="192" t="s">
        <v>3756</v>
      </c>
      <c r="F18" s="191" t="s">
        <v>3753</v>
      </c>
    </row>
    <row r="19" customFormat="false" ht="15" hidden="false" customHeight="true" outlineLevel="0" collapsed="false">
      <c r="A19" s="190" t="s">
        <v>3768</v>
      </c>
      <c r="B19" s="191" t="s">
        <v>3753</v>
      </c>
      <c r="C19" s="191" t="s">
        <v>3755</v>
      </c>
      <c r="D19" s="191" t="s">
        <v>3755</v>
      </c>
      <c r="E19" s="192" t="s">
        <v>3756</v>
      </c>
      <c r="F19" s="191" t="s">
        <v>3753</v>
      </c>
    </row>
    <row r="20" customFormat="false" ht="15" hidden="false" customHeight="true" outlineLevel="0" collapsed="false">
      <c r="A20" s="190" t="s">
        <v>3769</v>
      </c>
      <c r="B20" s="191" t="s">
        <v>3755</v>
      </c>
      <c r="C20" s="192" t="s">
        <v>3756</v>
      </c>
      <c r="D20" s="191" t="s">
        <v>3753</v>
      </c>
      <c r="E20" s="191" t="s">
        <v>3753</v>
      </c>
      <c r="F20" s="192" t="s">
        <v>3756</v>
      </c>
    </row>
    <row r="21" customFormat="false" ht="15" hidden="false" customHeight="true" outlineLevel="0" collapsed="false">
      <c r="A21" s="190" t="s">
        <v>3770</v>
      </c>
      <c r="B21" s="191" t="s">
        <v>3753</v>
      </c>
      <c r="C21" s="192" t="s">
        <v>3756</v>
      </c>
      <c r="D21" s="191" t="s">
        <v>3753</v>
      </c>
      <c r="E21" s="191" t="s">
        <v>3753</v>
      </c>
      <c r="F21" s="192" t="s">
        <v>3756</v>
      </c>
    </row>
    <row r="22" customFormat="false" ht="15" hidden="false" customHeight="true" outlineLevel="0" collapsed="false">
      <c r="A22" s="190" t="s">
        <v>3771</v>
      </c>
      <c r="B22" s="191" t="s">
        <v>3753</v>
      </c>
      <c r="C22" s="192" t="s">
        <v>3756</v>
      </c>
      <c r="D22" s="191" t="s">
        <v>3753</v>
      </c>
      <c r="E22" s="191" t="s">
        <v>3753</v>
      </c>
      <c r="F22" s="192" t="s">
        <v>3756</v>
      </c>
    </row>
    <row r="23" customFormat="false" ht="15" hidden="false" customHeight="true" outlineLevel="0" collapsed="false">
      <c r="A23" s="190" t="s">
        <v>3772</v>
      </c>
      <c r="B23" s="191" t="s">
        <v>3753</v>
      </c>
      <c r="C23" s="192" t="s">
        <v>3756</v>
      </c>
      <c r="D23" s="191" t="s">
        <v>3753</v>
      </c>
      <c r="E23" s="191" t="s">
        <v>3753</v>
      </c>
      <c r="F23" s="192" t="s">
        <v>3756</v>
      </c>
    </row>
    <row r="24" customFormat="false" ht="15" hidden="false" customHeight="true" outlineLevel="0" collapsed="false">
      <c r="A24" s="190" t="s">
        <v>3773</v>
      </c>
      <c r="B24" s="191" t="s">
        <v>3753</v>
      </c>
      <c r="C24" s="192" t="s">
        <v>3756</v>
      </c>
      <c r="D24" s="191" t="s">
        <v>3753</v>
      </c>
      <c r="E24" s="191" t="s">
        <v>3753</v>
      </c>
      <c r="F24" s="192" t="s">
        <v>3756</v>
      </c>
    </row>
    <row r="25" customFormat="false" ht="15" hidden="false" customHeight="true" outlineLevel="0" collapsed="false">
      <c r="A25" s="190" t="s">
        <v>3774</v>
      </c>
      <c r="B25" s="191" t="s">
        <v>3753</v>
      </c>
      <c r="C25" s="192" t="s">
        <v>3756</v>
      </c>
      <c r="D25" s="191" t="s">
        <v>3753</v>
      </c>
      <c r="E25" s="191" t="s">
        <v>3755</v>
      </c>
      <c r="F25" s="192" t="s">
        <v>3756</v>
      </c>
    </row>
    <row r="26" customFormat="false" ht="15" hidden="false" customHeight="true" outlineLevel="0" collapsed="false">
      <c r="A26" s="190" t="s">
        <v>38</v>
      </c>
      <c r="B26" s="191" t="s">
        <v>3755</v>
      </c>
      <c r="C26" s="192" t="s">
        <v>3756</v>
      </c>
      <c r="D26" s="191" t="s">
        <v>3755</v>
      </c>
      <c r="E26" s="191" t="s">
        <v>3755</v>
      </c>
      <c r="F26" s="191" t="s">
        <v>3755</v>
      </c>
    </row>
    <row r="27" customFormat="false" ht="15" hidden="false" customHeight="true" outlineLevel="0" collapsed="false">
      <c r="A27" s="190" t="s">
        <v>3775</v>
      </c>
      <c r="B27" s="191" t="s">
        <v>3753</v>
      </c>
      <c r="C27" s="192" t="s">
        <v>3756</v>
      </c>
      <c r="D27" s="191" t="s">
        <v>3753</v>
      </c>
      <c r="E27" s="191" t="s">
        <v>3753</v>
      </c>
      <c r="F27" s="192" t="s">
        <v>3756</v>
      </c>
    </row>
    <row r="29" customFormat="false" ht="15" hidden="false" customHeight="true" outlineLevel="0" collapsed="false">
      <c r="A29" s="187" t="s">
        <v>3776</v>
      </c>
      <c r="B29" s="187"/>
      <c r="C29" s="187"/>
      <c r="D29" s="187"/>
      <c r="E29" s="187"/>
      <c r="F29" s="187"/>
    </row>
    <row r="30" customFormat="false" ht="54.75" hidden="false" customHeight="true" outlineLevel="0" collapsed="false">
      <c r="A30" s="193" t="s">
        <v>3777</v>
      </c>
      <c r="B30" s="193"/>
      <c r="C30" s="193"/>
      <c r="D30" s="193"/>
      <c r="E30" s="193"/>
      <c r="F30" s="193"/>
    </row>
  </sheetData>
  <mergeCells count="4">
    <mergeCell ref="A2:F2"/>
    <mergeCell ref="A3:F3"/>
    <mergeCell ref="A29:F29"/>
    <mergeCell ref="A30:F30"/>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2660"/>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5" min="4" style="1" width="16"/>
    <col collapsed="false" customWidth="true" hidden="false" outlineLevel="0" max="6" min="6" style="1" width="30"/>
    <col collapsed="false" customWidth="true" hidden="true" outlineLevel="0" max="7" min="7" style="1" width="14"/>
  </cols>
  <sheetData>
    <row r="1" customFormat="false" ht="15" hidden="false" customHeight="true" outlineLevel="0" collapsed="false">
      <c r="A1" s="78" t="s">
        <v>56</v>
      </c>
    </row>
    <row r="2" customFormat="false" ht="15.75" hidden="false" customHeight="true" outlineLevel="0" collapsed="false">
      <c r="A2" s="111" t="s">
        <v>3778</v>
      </c>
      <c r="B2" s="111"/>
      <c r="C2" s="111"/>
      <c r="D2" s="111"/>
      <c r="E2" s="111"/>
      <c r="F2" s="111"/>
    </row>
    <row r="3" customFormat="false" ht="27.75" hidden="false" customHeight="true" outlineLevel="0" collapsed="false">
      <c r="A3" s="112" t="s">
        <v>3779</v>
      </c>
      <c r="B3" s="112"/>
      <c r="C3" s="112"/>
      <c r="D3" s="112"/>
      <c r="E3" s="112"/>
      <c r="F3" s="112"/>
    </row>
    <row r="5" customFormat="false" ht="15" hidden="false" customHeight="true" outlineLevel="0" collapsed="false">
      <c r="A5" s="96" t="s">
        <v>3780</v>
      </c>
      <c r="B5" s="96"/>
      <c r="C5" s="96"/>
      <c r="D5" s="96"/>
      <c r="E5" s="96"/>
      <c r="F5" s="96"/>
    </row>
    <row r="6" customFormat="false" ht="15" hidden="false" customHeight="true" outlineLevel="0" collapsed="false">
      <c r="A6" s="194" t="s">
        <v>3781</v>
      </c>
      <c r="B6" s="195" t="n">
        <f aca="false">COUNTA('13. BẢNG KIỂM LỚP'!B5:B34)</f>
        <v>0</v>
      </c>
    </row>
    <row r="7" customFormat="false" ht="15" hidden="false" customHeight="true" outlineLevel="0" collapsed="false">
      <c r="A7" s="194" t="s">
        <v>3782</v>
      </c>
      <c r="B7" s="195" t="n">
        <f aca="false">COUNTIF('13. BẢNG KIỂM LỚP'!S5:S34,"&gt;0")</f>
        <v>0</v>
      </c>
    </row>
    <row r="8" customFormat="false" ht="15" hidden="false" customHeight="true" outlineLevel="0" collapsed="false">
      <c r="A8" s="194" t="s">
        <v>3783</v>
      </c>
      <c r="B8" s="196" t="n">
        <f aca="false">IF(B6=0,0,B7/B6)</f>
        <v>0</v>
      </c>
    </row>
    <row r="10" customFormat="false" ht="15" hidden="false" customHeight="true" outlineLevel="0" collapsed="false">
      <c r="A10" s="96" t="s">
        <v>3784</v>
      </c>
      <c r="B10" s="96"/>
      <c r="C10" s="96"/>
      <c r="D10" s="96"/>
      <c r="E10" s="96"/>
      <c r="F10" s="96"/>
    </row>
    <row r="11" customFormat="false" ht="15" hidden="false" customHeight="true" outlineLevel="0" collapsed="false">
      <c r="A11" s="55" t="s">
        <v>3785</v>
      </c>
      <c r="B11" s="55" t="s">
        <v>3786</v>
      </c>
      <c r="C11" s="55" t="s">
        <v>3787</v>
      </c>
    </row>
    <row r="12" customFormat="false" ht="15" hidden="false" customHeight="true" outlineLevel="0" collapsed="false">
      <c r="A12" s="197" t="s">
        <v>3788</v>
      </c>
      <c r="B12" s="198" t="n">
        <f aca="false">SUM('13. BẢNG KIỂM LỚP'!C36:P36)</f>
        <v>0</v>
      </c>
      <c r="C12" s="199" t="n">
        <f aca="false">IFERROR(B12/SUM($B$12:$B$15),0)</f>
        <v>0</v>
      </c>
    </row>
    <row r="13" customFormat="false" ht="15" hidden="false" customHeight="true" outlineLevel="0" collapsed="false">
      <c r="A13" s="197" t="s">
        <v>3789</v>
      </c>
      <c r="B13" s="200" t="n">
        <f aca="false">SUM('13. BẢNG KIỂM LỚP'!C38:P38)</f>
        <v>0</v>
      </c>
      <c r="C13" s="199" t="n">
        <f aca="false">IFERROR(B13/SUM($B$12:$B$15),0)</f>
        <v>0</v>
      </c>
    </row>
    <row r="14" customFormat="false" ht="15" hidden="false" customHeight="true" outlineLevel="0" collapsed="false">
      <c r="A14" s="197" t="s">
        <v>3790</v>
      </c>
      <c r="B14" s="201" t="n">
        <f aca="false">SUM('13. BẢNG KIỂM LỚP'!C37:P37)</f>
        <v>0</v>
      </c>
      <c r="C14" s="199" t="n">
        <f aca="false">IFERROR(B14/SUM($B$12:$B$15),0)</f>
        <v>0</v>
      </c>
    </row>
    <row r="15" customFormat="false" ht="15" hidden="false" customHeight="true" outlineLevel="0" collapsed="false">
      <c r="A15" s="197" t="s">
        <v>3791</v>
      </c>
      <c r="B15" s="202" t="n">
        <f aca="false">SUM('13. BẢNG KIỂM LỚP'!C39:P39)</f>
        <v>0</v>
      </c>
      <c r="C15" s="199" t="n">
        <f aca="false">IFERROR(B15/SUM($B$12:$B$15),0)</f>
        <v>0</v>
      </c>
    </row>
    <row r="17" customFormat="false" ht="15" hidden="false" customHeight="true" outlineLevel="0" collapsed="false">
      <c r="A17" s="96" t="s">
        <v>3792</v>
      </c>
      <c r="B17" s="96"/>
      <c r="C17" s="96"/>
      <c r="D17" s="96"/>
      <c r="E17" s="96"/>
      <c r="F17" s="96"/>
    </row>
    <row r="18" customFormat="false" ht="15" hidden="false" customHeight="true" outlineLevel="0" collapsed="false">
      <c r="A18" s="55" t="s">
        <v>205</v>
      </c>
      <c r="B18" s="55" t="s">
        <v>3793</v>
      </c>
      <c r="C18" s="55" t="s">
        <v>3794</v>
      </c>
      <c r="D18" s="55" t="s">
        <v>3795</v>
      </c>
      <c r="E18" s="55" t="s">
        <v>3796</v>
      </c>
      <c r="F18" s="55" t="s">
        <v>3797</v>
      </c>
      <c r="G18" s="203" t="s">
        <v>3798</v>
      </c>
    </row>
    <row r="19" customFormat="false" ht="23.25" hidden="false" customHeight="true" outlineLevel="0" collapsed="false">
      <c r="A19" s="162" t="str">
        <f aca="false">'13. BẢNG KIỂM LỚP'!C4</f>
        <v>GT
(Giao tiếp)</v>
      </c>
      <c r="B19" s="204" t="n">
        <f aca="false">'13. BẢNG KIỂM LỚP'!C37</f>
        <v>0</v>
      </c>
      <c r="C19" s="205" t="n">
        <f aca="false">'13. BẢNG KIỂM LỚP'!C38</f>
        <v>0</v>
      </c>
      <c r="D19" s="206" t="n">
        <f aca="false">'13. BẢNG KIỂM LỚP'!C36</f>
        <v>0</v>
      </c>
      <c r="E19" s="207" t="n">
        <f aca="false">'13. BẢNG KIỂM LỚP'!C39</f>
        <v>0</v>
      </c>
      <c r="F19" s="208" t="n">
        <f aca="false">IFERROR((B19+E19)/$B$6,0)</f>
        <v>0</v>
      </c>
      <c r="G19" s="1" t="n">
        <f aca="false">B19-ROW()*0.0001</f>
        <v>-0.0019</v>
      </c>
    </row>
    <row r="20" customFormat="false" ht="23.25" hidden="false" customHeight="true" outlineLevel="0" collapsed="false">
      <c r="A20" s="162" t="str">
        <f aca="false">'13. BẢNG KIỂM LỚP'!D4</f>
        <v>HT
(Hợp tác)</v>
      </c>
      <c r="B20" s="204" t="n">
        <f aca="false">'13. BẢNG KIỂM LỚP'!D37</f>
        <v>0</v>
      </c>
      <c r="C20" s="205" t="n">
        <f aca="false">'13. BẢNG KIỂM LỚP'!D38</f>
        <v>0</v>
      </c>
      <c r="D20" s="206" t="n">
        <f aca="false">'13. BẢNG KIỂM LỚP'!D36</f>
        <v>0</v>
      </c>
      <c r="E20" s="207" t="n">
        <f aca="false">'13. BẢNG KIỂM LỚP'!D39</f>
        <v>0</v>
      </c>
      <c r="F20" s="208" t="n">
        <f aca="false">IFERROR((B20+E20)/$B$6,0)</f>
        <v>0</v>
      </c>
      <c r="G20" s="1" t="n">
        <f aca="false">B20-ROW()*0.0001</f>
        <v>-0.002</v>
      </c>
    </row>
    <row r="21" customFormat="false" ht="23.25" hidden="false" customHeight="true" outlineLevel="0" collapsed="false">
      <c r="A21" s="162" t="str">
        <f aca="false">'13. BẢNG KIỂM LỚP'!E4</f>
        <v>GQ
(Giải quyết VĐ)</v>
      </c>
      <c r="B21" s="204" t="n">
        <f aca="false">'13. BẢNG KIỂM LỚP'!E37</f>
        <v>0</v>
      </c>
      <c r="C21" s="205" t="n">
        <f aca="false">'13. BẢNG KIỂM LỚP'!E38</f>
        <v>0</v>
      </c>
      <c r="D21" s="206" t="n">
        <f aca="false">'13. BẢNG KIỂM LỚP'!E36</f>
        <v>0</v>
      </c>
      <c r="E21" s="207" t="n">
        <f aca="false">'13. BẢNG KIỂM LỚP'!E39</f>
        <v>0</v>
      </c>
      <c r="F21" s="208" t="n">
        <f aca="false">IFERROR((B21+E21)/$B$6,0)</f>
        <v>0</v>
      </c>
      <c r="G21" s="1" t="n">
        <f aca="false">B21-ROW()*0.0001</f>
        <v>-0.0021</v>
      </c>
    </row>
    <row r="22" customFormat="false" ht="23.25" hidden="false" customHeight="true" outlineLevel="0" collapsed="false">
      <c r="A22" s="162" t="str">
        <f aca="false">'13. BẢNG KIỂM LỚP'!F4</f>
        <v>TA
(Thích ứng)</v>
      </c>
      <c r="B22" s="204" t="n">
        <f aca="false">'13. BẢNG KIỂM LỚP'!F37</f>
        <v>0</v>
      </c>
      <c r="C22" s="205" t="n">
        <f aca="false">'13. BẢNG KIỂM LỚP'!F38</f>
        <v>0</v>
      </c>
      <c r="D22" s="206" t="n">
        <f aca="false">'13. BẢNG KIỂM LỚP'!F36</f>
        <v>0</v>
      </c>
      <c r="E22" s="207" t="n">
        <f aca="false">'13. BẢNG KIỂM LỚP'!F39</f>
        <v>0</v>
      </c>
      <c r="F22" s="208" t="n">
        <f aca="false">IFERROR((B22+E22)/$B$6,0)</f>
        <v>0</v>
      </c>
      <c r="G22" s="1" t="n">
        <f aca="false">B22-ROW()*0.0001</f>
        <v>-0.0022</v>
      </c>
    </row>
    <row r="23" customFormat="false" ht="23.25" hidden="false" customHeight="true" outlineLevel="0" collapsed="false">
      <c r="A23" s="162" t="str">
        <f aca="false">'13. BẢNG KIỂM LỚP'!G4</f>
        <v>TL
(Tự lực)</v>
      </c>
      <c r="B23" s="204" t="n">
        <f aca="false">'13. BẢNG KIỂM LỚP'!G37</f>
        <v>0</v>
      </c>
      <c r="C23" s="205" t="n">
        <f aca="false">'13. BẢNG KIỂM LỚP'!G38</f>
        <v>0</v>
      </c>
      <c r="D23" s="206" t="n">
        <f aca="false">'13. BẢNG KIỂM LỚP'!G36</f>
        <v>0</v>
      </c>
      <c r="E23" s="207" t="n">
        <f aca="false">'13. BẢNG KIỂM LỚP'!G39</f>
        <v>0</v>
      </c>
      <c r="F23" s="208" t="n">
        <f aca="false">IFERROR((B23+E23)/$B$6,0)</f>
        <v>0</v>
      </c>
      <c r="G23" s="1" t="n">
        <f aca="false">B23-ROW()*0.0001</f>
        <v>-0.0023</v>
      </c>
    </row>
    <row r="24" customFormat="false" ht="23.25" hidden="false" customHeight="true" outlineLevel="0" collapsed="false">
      <c r="A24" s="162" t="str">
        <f aca="false">'13. BẢNG KIỂM LỚP'!H4</f>
        <v>PC-YT
(Yêu thương)</v>
      </c>
      <c r="B24" s="204" t="n">
        <f aca="false">'13. BẢNG KIỂM LỚP'!H37</f>
        <v>0</v>
      </c>
      <c r="C24" s="205" t="n">
        <f aca="false">'13. BẢNG KIỂM LỚP'!H38</f>
        <v>0</v>
      </c>
      <c r="D24" s="206" t="n">
        <f aca="false">'13. BẢNG KIỂM LỚP'!H36</f>
        <v>0</v>
      </c>
      <c r="E24" s="207" t="n">
        <f aca="false">'13. BẢNG KIỂM LỚP'!H39</f>
        <v>0</v>
      </c>
      <c r="F24" s="208" t="n">
        <f aca="false">IFERROR((B24+E24)/$B$6,0)</f>
        <v>0</v>
      </c>
      <c r="G24" s="1" t="n">
        <f aca="false">B24-ROW()*0.0001</f>
        <v>-0.0024</v>
      </c>
    </row>
    <row r="25" customFormat="false" ht="23.25" hidden="false" customHeight="true" outlineLevel="0" collapsed="false">
      <c r="A25" s="162" t="str">
        <f aca="false">'13. BẢNG KIỂM LỚP'!I4</f>
        <v>PC-TT
(Tôn trọng)</v>
      </c>
      <c r="B25" s="204" t="n">
        <f aca="false">'13. BẢNG KIỂM LỚP'!I37</f>
        <v>0</v>
      </c>
      <c r="C25" s="205" t="n">
        <f aca="false">'13. BẢNG KIỂM LỚP'!I38</f>
        <v>0</v>
      </c>
      <c r="D25" s="206" t="n">
        <f aca="false">'13. BẢNG KIỂM LỚP'!I36</f>
        <v>0</v>
      </c>
      <c r="E25" s="207" t="n">
        <f aca="false">'13. BẢNG KIỂM LỚP'!I39</f>
        <v>0</v>
      </c>
      <c r="F25" s="208" t="n">
        <f aca="false">IFERROR((B25+E25)/$B$6,0)</f>
        <v>0</v>
      </c>
      <c r="G25" s="1" t="n">
        <f aca="false">B25-ROW()*0.0001</f>
        <v>-0.0025</v>
      </c>
    </row>
    <row r="26" customFormat="false" ht="23.25" hidden="false" customHeight="true" outlineLevel="0" collapsed="false">
      <c r="A26" s="162" t="str">
        <f aca="false">'13. BẢNG KIỂM LỚP'!J4</f>
        <v>PC-TR
(Trách nhiệm)</v>
      </c>
      <c r="B26" s="204" t="n">
        <f aca="false">'13. BẢNG KIỂM LỚP'!J37</f>
        <v>0</v>
      </c>
      <c r="C26" s="205" t="n">
        <f aca="false">'13. BẢNG KIỂM LỚP'!J38</f>
        <v>0</v>
      </c>
      <c r="D26" s="206" t="n">
        <f aca="false">'13. BẢNG KIỂM LỚP'!J36</f>
        <v>0</v>
      </c>
      <c r="E26" s="207" t="n">
        <f aca="false">'13. BẢNG KIỂM LỚP'!J39</f>
        <v>0</v>
      </c>
      <c r="F26" s="208" t="n">
        <f aca="false">IFERROR((B26+E26)/$B$6,0)</f>
        <v>0</v>
      </c>
      <c r="G26" s="1" t="n">
        <f aca="false">B26-ROW()*0.0001</f>
        <v>-0.0026</v>
      </c>
    </row>
    <row r="27" customFormat="false" ht="23.25" hidden="false" customHeight="true" outlineLevel="0" collapsed="false">
      <c r="A27" s="162" t="str">
        <f aca="false">'13. BẢNG KIỂM LỚP'!K4</f>
        <v>PC-TN
(Trung thực)</v>
      </c>
      <c r="B27" s="204" t="n">
        <f aca="false">'13. BẢNG KIỂM LỚP'!K37</f>
        <v>0</v>
      </c>
      <c r="C27" s="205" t="n">
        <f aca="false">'13. BẢNG KIỂM LỚP'!K38</f>
        <v>0</v>
      </c>
      <c r="D27" s="206" t="n">
        <f aca="false">'13. BẢNG KIỂM LỚP'!K36</f>
        <v>0</v>
      </c>
      <c r="E27" s="207" t="n">
        <f aca="false">'13. BẢNG KIỂM LỚP'!K39</f>
        <v>0</v>
      </c>
      <c r="F27" s="208" t="n">
        <f aca="false">IFERROR((B27+E27)/$B$6,0)</f>
        <v>0</v>
      </c>
      <c r="G27" s="1" t="n">
        <f aca="false">B27-ROW()*0.0001</f>
        <v>-0.0027</v>
      </c>
    </row>
    <row r="28" customFormat="false" ht="23.25" hidden="false" customHeight="true" outlineLevel="0" collapsed="false">
      <c r="A28" s="162" t="str">
        <f aca="false">'13. BẢNG KIỂM LỚP'!L4</f>
        <v>TC
(Thể chất)</v>
      </c>
      <c r="B28" s="204" t="n">
        <f aca="false">'13. BẢNG KIỂM LỚP'!L37</f>
        <v>0</v>
      </c>
      <c r="C28" s="205" t="n">
        <f aca="false">'13. BẢNG KIỂM LỚP'!L38</f>
        <v>0</v>
      </c>
      <c r="D28" s="206" t="n">
        <f aca="false">'13. BẢNG KIỂM LỚP'!L36</f>
        <v>0</v>
      </c>
      <c r="E28" s="207" t="n">
        <f aca="false">'13. BẢNG KIỂM LỚP'!L39</f>
        <v>0</v>
      </c>
      <c r="F28" s="208" t="n">
        <f aca="false">IFERROR((B28+E28)/$B$6,0)</f>
        <v>0</v>
      </c>
      <c r="G28" s="1" t="n">
        <f aca="false">B28-ROW()*0.0001</f>
        <v>-0.0028</v>
      </c>
    </row>
    <row r="29" customFormat="false" ht="23.25" hidden="false" customHeight="true" outlineLevel="0" collapsed="false">
      <c r="A29" s="162" t="str">
        <f aca="false">'13. BẢNG KIỂM LỚP'!M4</f>
        <v>TX
(T.cảm-XH)</v>
      </c>
      <c r="B29" s="204" t="n">
        <f aca="false">'13. BẢNG KIỂM LỚP'!M37</f>
        <v>0</v>
      </c>
      <c r="C29" s="205" t="n">
        <f aca="false">'13. BẢNG KIỂM LỚP'!M38</f>
        <v>0</v>
      </c>
      <c r="D29" s="206" t="n">
        <f aca="false">'13. BẢNG KIỂM LỚP'!M36</f>
        <v>0</v>
      </c>
      <c r="E29" s="207" t="n">
        <f aca="false">'13. BẢNG KIỂM LỚP'!M39</f>
        <v>0</v>
      </c>
      <c r="F29" s="208" t="n">
        <f aca="false">IFERROR((B29+E29)/$B$6,0)</f>
        <v>0</v>
      </c>
      <c r="G29" s="1" t="n">
        <f aca="false">B29-ROW()*0.0001</f>
        <v>-0.0029</v>
      </c>
    </row>
    <row r="30" customFormat="false" ht="23.25" hidden="false" customHeight="true" outlineLevel="0" collapsed="false">
      <c r="A30" s="162" t="str">
        <f aca="false">'13. BẢNG KIỂM LỚP'!N4</f>
        <v>NN
(Ngôn ngữ)</v>
      </c>
      <c r="B30" s="204" t="n">
        <f aca="false">'13. BẢNG KIỂM LỚP'!N37</f>
        <v>0</v>
      </c>
      <c r="C30" s="205" t="n">
        <f aca="false">'13. BẢNG KIỂM LỚP'!N38</f>
        <v>0</v>
      </c>
      <c r="D30" s="206" t="n">
        <f aca="false">'13. BẢNG KIỂM LỚP'!N36</f>
        <v>0</v>
      </c>
      <c r="E30" s="207" t="n">
        <f aca="false">'13. BẢNG KIỂM LỚP'!N39</f>
        <v>0</v>
      </c>
      <c r="F30" s="208" t="n">
        <f aca="false">IFERROR((B30+E30)/$B$6,0)</f>
        <v>0</v>
      </c>
      <c r="G30" s="1" t="n">
        <f aca="false">B30-ROW()*0.0001</f>
        <v>-0.003</v>
      </c>
    </row>
    <row r="31" customFormat="false" ht="23.25" hidden="false" customHeight="true" outlineLevel="0" collapsed="false">
      <c r="A31" s="162" t="str">
        <f aca="false">'13. BẢNG KIỂM LỚP'!O4</f>
        <v>NT
(Nhận thức)</v>
      </c>
      <c r="B31" s="204" t="n">
        <f aca="false">'13. BẢNG KIỂM LỚP'!O37</f>
        <v>0</v>
      </c>
      <c r="C31" s="205" t="n">
        <f aca="false">'13. BẢNG KIỂM LỚP'!O38</f>
        <v>0</v>
      </c>
      <c r="D31" s="206" t="n">
        <f aca="false">'13. BẢNG KIỂM LỚP'!O36</f>
        <v>0</v>
      </c>
      <c r="E31" s="207" t="n">
        <f aca="false">'13. BẢNG KIỂM LỚP'!O39</f>
        <v>0</v>
      </c>
      <c r="F31" s="208" t="n">
        <f aca="false">IFERROR((B31+E31)/$B$6,0)</f>
        <v>0</v>
      </c>
      <c r="G31" s="1" t="n">
        <f aca="false">B31-ROW()*0.0001</f>
        <v>-0.0031</v>
      </c>
    </row>
    <row r="32" customFormat="false" ht="23.25" hidden="false" customHeight="true" outlineLevel="0" collapsed="false">
      <c r="A32" s="162" t="str">
        <f aca="false">'13. BẢNG KIỂM LỚP'!P4</f>
        <v>NgT
(Nghệ thuật)</v>
      </c>
      <c r="B32" s="204" t="n">
        <f aca="false">'13. BẢNG KIỂM LỚP'!P37</f>
        <v>0</v>
      </c>
      <c r="C32" s="205" t="n">
        <f aca="false">'13. BẢNG KIỂM LỚP'!P38</f>
        <v>0</v>
      </c>
      <c r="D32" s="206" t="n">
        <f aca="false">'13. BẢNG KIỂM LỚP'!P36</f>
        <v>0</v>
      </c>
      <c r="E32" s="207" t="n">
        <f aca="false">'13. BẢNG KIỂM LỚP'!P39</f>
        <v>0</v>
      </c>
      <c r="F32" s="208" t="n">
        <f aca="false">IFERROR((B32+E32)/$B$6,0)</f>
        <v>0</v>
      </c>
      <c r="G32" s="1" t="n">
        <f aca="false">B32-ROW()*0.0001</f>
        <v>-0.0032</v>
      </c>
    </row>
    <row r="34" customFormat="false" ht="15" hidden="false" customHeight="true" outlineLevel="0" collapsed="false">
      <c r="A34" s="96" t="s">
        <v>3799</v>
      </c>
      <c r="B34" s="96"/>
      <c r="C34" s="96"/>
      <c r="D34" s="96"/>
      <c r="E34" s="96"/>
      <c r="F34" s="96"/>
    </row>
    <row r="35" customFormat="false" ht="15" hidden="false" customHeight="true" outlineLevel="0" collapsed="false">
      <c r="A35" s="55" t="s">
        <v>3800</v>
      </c>
      <c r="B35" s="55" t="s">
        <v>205</v>
      </c>
      <c r="C35" s="55" t="s">
        <v>3793</v>
      </c>
    </row>
    <row r="36" customFormat="false" ht="23.25" hidden="false" customHeight="true" outlineLevel="0" collapsed="false">
      <c r="A36" s="162" t="s">
        <v>3801</v>
      </c>
      <c r="B36" s="209" t="str">
        <f aca="false">IFERROR(INDEX($A$19:$A$32,MATCH(LARGE($G$19:$G$32,1),$G$19:$G$32,0)),"(chưa đủ dữ liệu)")</f>
        <v>GT
(Giao tiếp)</v>
      </c>
      <c r="C36" s="209" t="n">
        <f aca="false">IFERROR(INDEX($B$19:$B$32,MATCH(LARGE($G$19:$G$32,1),$G$19:$G$32,0)),0)</f>
        <v>0</v>
      </c>
    </row>
    <row r="37" customFormat="false" ht="23.25" hidden="false" customHeight="true" outlineLevel="0" collapsed="false">
      <c r="A37" s="162" t="s">
        <v>3802</v>
      </c>
      <c r="B37" s="209" t="str">
        <f aca="false">IFERROR(INDEX($A$19:$A$32,MATCH(LARGE($G$19:$G$32,2),$G$19:$G$32,0)),"(chưa đủ dữ liệu)")</f>
        <v>HT
(Hợp tác)</v>
      </c>
      <c r="C37" s="209" t="n">
        <f aca="false">IFERROR(INDEX($B$19:$B$32,MATCH(LARGE($G$19:$G$32,2),$G$19:$G$32,0)),0)</f>
        <v>0</v>
      </c>
    </row>
    <row r="38" customFormat="false" ht="23.25" hidden="false" customHeight="true" outlineLevel="0" collapsed="false">
      <c r="A38" s="162" t="s">
        <v>3803</v>
      </c>
      <c r="B38" s="209" t="str">
        <f aca="false">IFERROR(INDEX($A$19:$A$32,MATCH(LARGE($G$19:$G$32,3),$G$19:$G$32,0)),"(chưa đủ dữ liệu)")</f>
        <v>GQ
(Giải quyết VĐ)</v>
      </c>
      <c r="C38" s="209" t="n">
        <f aca="false">IFERROR(INDEX($B$19:$B$32,MATCH(LARGE($G$19:$G$32,3),$G$19:$G$32,0)),0)</f>
        <v>0</v>
      </c>
    </row>
    <row r="40" customFormat="false" ht="15" hidden="false" customHeight="true" outlineLevel="0" collapsed="false">
      <c r="A40" s="96" t="s">
        <v>3804</v>
      </c>
      <c r="B40" s="96"/>
      <c r="C40" s="96"/>
      <c r="D40" s="96"/>
      <c r="E40" s="96"/>
      <c r="F40" s="96"/>
    </row>
    <row r="41" customFormat="false" ht="15" hidden="false" customHeight="true" outlineLevel="0" collapsed="false">
      <c r="A41" s="55" t="s">
        <v>3544</v>
      </c>
      <c r="B41" s="55" t="s">
        <v>3621</v>
      </c>
      <c r="C41" s="55" t="s">
        <v>3805</v>
      </c>
    </row>
    <row r="42" customFormat="false" ht="15" hidden="false" customHeight="true" outlineLevel="0" collapsed="false">
      <c r="A42" s="209" t="n">
        <v>1</v>
      </c>
      <c r="B42" s="210" t="str">
        <f aca="false">IFERROR(INDEX('13. BẢNG KIỂM LỚP'!$B$5:$B$34,IFERROR(SMALL('13. BẢNG KIỂM LỚP'!$U$5:$U$34,1),"")),"")</f>
        <v/>
      </c>
      <c r="C42" s="210" t="str">
        <f aca="false">IFERROR(IF(INDEX('13. BẢNG KIỂM LỚP'!$S$5:$S$34,IFERROR(SMALL('13. BẢNG KIỂM LỚP'!$U$5:$U$34,1),""))=0,"Chưa có đánh giá nào","Có mã đang ở mức X — cần quan sát thêm"),"")</f>
        <v/>
      </c>
    </row>
    <row r="43" customFormat="false" ht="15" hidden="false" customHeight="true" outlineLevel="0" collapsed="false">
      <c r="A43" s="209" t="n">
        <v>2</v>
      </c>
      <c r="B43" s="210" t="str">
        <f aca="false">IFERROR(INDEX('13. BẢNG KIỂM LỚP'!$B$5:$B$34,IFERROR(SMALL('13. BẢNG KIỂM LỚP'!$U$5:$U$34,2),"")),"")</f>
        <v/>
      </c>
      <c r="C43" s="210" t="str">
        <f aca="false">IFERROR(IF(INDEX('13. BẢNG KIỂM LỚP'!$S$5:$S$34,IFERROR(SMALL('13. BẢNG KIỂM LỚP'!$U$5:$U$34,2),""))=0,"Chưa có đánh giá nào","Có mã đang ở mức X — cần quan sát thêm"),"")</f>
        <v/>
      </c>
    </row>
    <row r="44" customFormat="false" ht="15" hidden="false" customHeight="true" outlineLevel="0" collapsed="false">
      <c r="A44" s="209" t="n">
        <v>3</v>
      </c>
      <c r="B44" s="210" t="str">
        <f aca="false">IFERROR(INDEX('13. BẢNG KIỂM LỚP'!$B$5:$B$34,IFERROR(SMALL('13. BẢNG KIỂM LỚP'!$U$5:$U$34,3),"")),"")</f>
        <v/>
      </c>
      <c r="C44" s="210" t="str">
        <f aca="false">IFERROR(IF(INDEX('13. BẢNG KIỂM LỚP'!$S$5:$S$34,IFERROR(SMALL('13. BẢNG KIỂM LỚP'!$U$5:$U$34,3),""))=0,"Chưa có đánh giá nào","Có mã đang ở mức X — cần quan sát thêm"),"")</f>
        <v/>
      </c>
    </row>
    <row r="45" customFormat="false" ht="15" hidden="false" customHeight="true" outlineLevel="0" collapsed="false">
      <c r="A45" s="209" t="n">
        <v>4</v>
      </c>
      <c r="B45" s="210" t="str">
        <f aca="false">IFERROR(INDEX('13. BẢNG KIỂM LỚP'!$B$5:$B$34,IFERROR(SMALL('13. BẢNG KIỂM LỚP'!$U$5:$U$34,4),"")),"")</f>
        <v/>
      </c>
      <c r="C45" s="210" t="str">
        <f aca="false">IFERROR(IF(INDEX('13. BẢNG KIỂM LỚP'!$S$5:$S$34,IFERROR(SMALL('13. BẢNG KIỂM LỚP'!$U$5:$U$34,4),""))=0,"Chưa có đánh giá nào","Có mã đang ở mức X — cần quan sát thêm"),"")</f>
        <v/>
      </c>
    </row>
    <row r="46" customFormat="false" ht="15" hidden="false" customHeight="true" outlineLevel="0" collapsed="false">
      <c r="A46" s="209" t="n">
        <v>5</v>
      </c>
      <c r="B46" s="210" t="str">
        <f aca="false">IFERROR(INDEX('13. BẢNG KIỂM LỚP'!$B$5:$B$34,IFERROR(SMALL('13. BẢNG KIỂM LỚP'!$U$5:$U$34,5),"")),"")</f>
        <v/>
      </c>
      <c r="C46" s="210" t="str">
        <f aca="false">IFERROR(IF(INDEX('13. BẢNG KIỂM LỚP'!$S$5:$S$34,IFERROR(SMALL('13. BẢNG KIỂM LỚP'!$U$5:$U$34,5),""))=0,"Chưa có đánh giá nào","Có mã đang ở mức X — cần quan sát thêm"),"")</f>
        <v/>
      </c>
    </row>
    <row r="47" customFormat="false" ht="15" hidden="false" customHeight="true" outlineLevel="0" collapsed="false">
      <c r="A47" s="209" t="n">
        <v>6</v>
      </c>
      <c r="B47" s="210" t="str">
        <f aca="false">IFERROR(INDEX('13. BẢNG KIỂM LỚP'!$B$5:$B$34,IFERROR(SMALL('13. BẢNG KIỂM LỚP'!$U$5:$U$34,6),"")),"")</f>
        <v/>
      </c>
      <c r="C47" s="210" t="str">
        <f aca="false">IFERROR(IF(INDEX('13. BẢNG KIỂM LỚP'!$S$5:$S$34,IFERROR(SMALL('13. BẢNG KIỂM LỚP'!$U$5:$U$34,6),""))=0,"Chưa có đánh giá nào","Có mã đang ở mức X — cần quan sát thêm"),"")</f>
        <v/>
      </c>
    </row>
    <row r="48" customFormat="false" ht="15" hidden="false" customHeight="true" outlineLevel="0" collapsed="false">
      <c r="A48" s="209" t="n">
        <v>7</v>
      </c>
      <c r="B48" s="210" t="str">
        <f aca="false">IFERROR(INDEX('13. BẢNG KIỂM LỚP'!$B$5:$B$34,IFERROR(SMALL('13. BẢNG KIỂM LỚP'!$U$5:$U$34,7),"")),"")</f>
        <v/>
      </c>
      <c r="C48" s="210" t="str">
        <f aca="false">IFERROR(IF(INDEX('13. BẢNG KIỂM LỚP'!$S$5:$S$34,IFERROR(SMALL('13. BẢNG KIỂM LỚP'!$U$5:$U$34,7),""))=0,"Chưa có đánh giá nào","Có mã đang ở mức X — cần quan sát thêm"),"")</f>
        <v/>
      </c>
    </row>
    <row r="49" customFormat="false" ht="15" hidden="false" customHeight="true" outlineLevel="0" collapsed="false">
      <c r="A49" s="209" t="n">
        <v>8</v>
      </c>
      <c r="B49" s="210" t="str">
        <f aca="false">IFERROR(INDEX('13. BẢNG KIỂM LỚP'!$B$5:$B$34,IFERROR(SMALL('13. BẢNG KIỂM LỚP'!$U$5:$U$34,8),"")),"")</f>
        <v/>
      </c>
      <c r="C49" s="210" t="str">
        <f aca="false">IFERROR(IF(INDEX('13. BẢNG KIỂM LỚP'!$S$5:$S$34,IFERROR(SMALL('13. BẢNG KIỂM LỚP'!$U$5:$U$34,8),""))=0,"Chưa có đánh giá nào","Có mã đang ở mức X — cần quan sát thêm"),"")</f>
        <v/>
      </c>
    </row>
    <row r="50" customFormat="false" ht="15" hidden="false" customHeight="true" outlineLevel="0" collapsed="false">
      <c r="A50" s="209" t="n">
        <v>9</v>
      </c>
      <c r="B50" s="210" t="str">
        <f aca="false">IFERROR(INDEX('13. BẢNG KIỂM LỚP'!$B$5:$B$34,IFERROR(SMALL('13. BẢNG KIỂM LỚP'!$U$5:$U$34,9),"")),"")</f>
        <v/>
      </c>
      <c r="C50" s="210" t="str">
        <f aca="false">IFERROR(IF(INDEX('13. BẢNG KIỂM LỚP'!$S$5:$S$34,IFERROR(SMALL('13. BẢNG KIỂM LỚP'!$U$5:$U$34,9),""))=0,"Chưa có đánh giá nào","Có mã đang ở mức X — cần quan sát thêm"),"")</f>
        <v/>
      </c>
    </row>
    <row r="51" customFormat="false" ht="15" hidden="false" customHeight="true" outlineLevel="0" collapsed="false">
      <c r="A51" s="209" t="n">
        <v>10</v>
      </c>
      <c r="B51" s="210" t="str">
        <f aca="false">IFERROR(INDEX('13. BẢNG KIỂM LỚP'!$B$5:$B$34,IFERROR(SMALL('13. BẢNG KIỂM LỚP'!$U$5:$U$34,10),"")),"")</f>
        <v/>
      </c>
      <c r="C51" s="210" t="str">
        <f aca="false">IFERROR(IF(INDEX('13. BẢNG KIỂM LỚP'!$S$5:$S$34,IFERROR(SMALL('13. BẢNG KIỂM LỚP'!$U$5:$U$34,10),""))=0,"Chưa có đánh giá nào","Có mã đang ở mức X — cần quan sát thêm"),"")</f>
        <v/>
      </c>
    </row>
    <row r="52" customFormat="false" ht="15" hidden="false" customHeight="true" outlineLevel="0" collapsed="false">
      <c r="A52" s="209" t="n">
        <v>11</v>
      </c>
      <c r="B52" s="210" t="str">
        <f aca="false">IFERROR(INDEX('13. BẢNG KIỂM LỚP'!$B$5:$B$34,IFERROR(SMALL('13. BẢNG KIỂM LỚP'!$U$5:$U$34,11),"")),"")</f>
        <v/>
      </c>
      <c r="C52" s="210" t="str">
        <f aca="false">IFERROR(IF(INDEX('13. BẢNG KIỂM LỚP'!$S$5:$S$34,IFERROR(SMALL('13. BẢNG KIỂM LỚP'!$U$5:$U$34,11),""))=0,"Chưa có đánh giá nào","Có mã đang ở mức X — cần quan sát thêm"),"")</f>
        <v/>
      </c>
    </row>
    <row r="53" customFormat="false" ht="15" hidden="false" customHeight="true" outlineLevel="0" collapsed="false">
      <c r="A53" s="209" t="n">
        <v>12</v>
      </c>
      <c r="B53" s="210" t="str">
        <f aca="false">IFERROR(INDEX('13. BẢNG KIỂM LỚP'!$B$5:$B$34,IFERROR(SMALL('13. BẢNG KIỂM LỚP'!$U$5:$U$34,12),"")),"")</f>
        <v/>
      </c>
      <c r="C53" s="210" t="str">
        <f aca="false">IFERROR(IF(INDEX('13. BẢNG KIỂM LỚP'!$S$5:$S$34,IFERROR(SMALL('13. BẢNG KIỂM LỚP'!$U$5:$U$34,12),""))=0,"Chưa có đánh giá nào","Có mã đang ở mức X — cần quan sát thêm"),"")</f>
        <v/>
      </c>
    </row>
    <row r="54" customFormat="false" ht="15" hidden="false" customHeight="true" outlineLevel="0" collapsed="false">
      <c r="A54" s="209" t="n">
        <v>13</v>
      </c>
      <c r="B54" s="210" t="str">
        <f aca="false">IFERROR(INDEX('13. BẢNG KIỂM LỚP'!$B$5:$B$34,IFERROR(SMALL('13. BẢNG KIỂM LỚP'!$U$5:$U$34,13),"")),"")</f>
        <v/>
      </c>
      <c r="C54" s="210" t="str">
        <f aca="false">IFERROR(IF(INDEX('13. BẢNG KIỂM LỚP'!$S$5:$S$34,IFERROR(SMALL('13. BẢNG KIỂM LỚP'!$U$5:$U$34,13),""))=0,"Chưa có đánh giá nào","Có mã đang ở mức X — cần quan sát thêm"),"")</f>
        <v/>
      </c>
    </row>
    <row r="55" customFormat="false" ht="15" hidden="false" customHeight="true" outlineLevel="0" collapsed="false">
      <c r="A55" s="209" t="n">
        <v>14</v>
      </c>
      <c r="B55" s="210" t="str">
        <f aca="false">IFERROR(INDEX('13. BẢNG KIỂM LỚP'!$B$5:$B$34,IFERROR(SMALL('13. BẢNG KIỂM LỚP'!$U$5:$U$34,14),"")),"")</f>
        <v/>
      </c>
      <c r="C55" s="210" t="str">
        <f aca="false">IFERROR(IF(INDEX('13. BẢNG KIỂM LỚP'!$S$5:$S$34,IFERROR(SMALL('13. BẢNG KIỂM LỚP'!$U$5:$U$34,14),""))=0,"Chưa có đánh giá nào","Có mã đang ở mức X — cần quan sát thêm"),"")</f>
        <v/>
      </c>
    </row>
    <row r="56" customFormat="false" ht="15" hidden="false" customHeight="true" outlineLevel="0" collapsed="false">
      <c r="A56" s="209" t="n">
        <v>15</v>
      </c>
      <c r="B56" s="210" t="str">
        <f aca="false">IFERROR(INDEX('13. BẢNG KIỂM LỚP'!$B$5:$B$34,IFERROR(SMALL('13. BẢNG KIỂM LỚP'!$U$5:$U$34,15),"")),"")</f>
        <v/>
      </c>
      <c r="C56" s="210" t="str">
        <f aca="false">IFERROR(IF(INDEX('13. BẢNG KIỂM LỚP'!$S$5:$S$34,IFERROR(SMALL('13. BẢNG KIỂM LỚP'!$U$5:$U$34,15),""))=0,"Chưa có đánh giá nào","Có mã đang ở mức X — cần quan sát thêm"),"")</f>
        <v/>
      </c>
    </row>
    <row r="58" customFormat="false" ht="15" hidden="false" customHeight="true" outlineLevel="0" collapsed="false">
      <c r="A58" s="96" t="s">
        <v>3806</v>
      </c>
      <c r="B58" s="96"/>
      <c r="C58" s="96"/>
      <c r="D58" s="96"/>
      <c r="E58" s="96"/>
      <c r="F58" s="96"/>
    </row>
    <row r="59" customFormat="false" ht="25.5" hidden="false" customHeight="true" outlineLevel="0" collapsed="false">
      <c r="A59" s="211" t="str">
        <f aca="false">CONCATENATE("• Ưu tiên số 1 cần sinh hoạt chuyên môn: mã ",B36," — đang có ",C36," trẻ ở mức I trong lớp.")</f>
        <v>• Ưu tiên số 1 cần sinh hoạt chuyên môn: mã GT
(Giao tiếp) — đang có 0 trẻ ở mức I trong lớp.</v>
      </c>
      <c r="B59" s="211"/>
      <c r="C59" s="211"/>
      <c r="D59" s="211"/>
      <c r="E59" s="211"/>
      <c r="F59" s="211"/>
    </row>
    <row r="60" customFormat="false" ht="25.5" hidden="false" customHeight="true" outlineLevel="0" collapsed="false">
      <c r="A60" s="212" t="str">
        <f aca="false">IF(COUNTA('13. BẢNG KIỂM LỚP'!$B$5:$B$34)=0,"• Chưa có dữ liệu trẻ trong Bảng kiểm lớp — hãy nhập họ tên trẻ trước.",IF(B7=0,"• Chưa có đánh giá nào được nhập — nhắc GV bắt đầu quan sát và ghi nhận theo mã trọng tâm tháng này.",CONCATENATE("• Còn ",SUMPRODUCT(('13. BẢNG KIỂM LỚP'!$U$5:$U$34&lt;&gt;"")*1)," trẻ cần bổ sung quan sát — xem chi tiết ở mục E.")))</f>
        <v>• Chưa có dữ liệu trẻ trong Bảng kiểm lớp — hãy nhập họ tên trẻ trước.</v>
      </c>
      <c r="B60" s="212"/>
      <c r="C60" s="212"/>
      <c r="D60" s="212"/>
      <c r="E60" s="212"/>
      <c r="F60" s="212"/>
    </row>
    <row r="61" customFormat="false" ht="30" hidden="false" customHeight="true" outlineLevel="0" collapsed="false">
      <c r="A61" s="212" t="s">
        <v>3807</v>
      </c>
      <c r="B61" s="212"/>
      <c r="C61" s="212"/>
      <c r="D61" s="212"/>
      <c r="E61" s="212"/>
      <c r="F61" s="212"/>
    </row>
    <row r="63" customFormat="false" ht="24" hidden="false" customHeight="true" outlineLevel="0" collapsed="false">
      <c r="A63" s="213" t="s">
        <v>3808</v>
      </c>
      <c r="B63" s="213"/>
      <c r="C63" s="213"/>
      <c r="D63" s="213"/>
      <c r="E63" s="213"/>
      <c r="F63" s="213"/>
    </row>
  </sheetData>
  <mergeCells count="12">
    <mergeCell ref="A2:F2"/>
    <mergeCell ref="A3:F3"/>
    <mergeCell ref="A5:F5"/>
    <mergeCell ref="A10:F10"/>
    <mergeCell ref="A17:F17"/>
    <mergeCell ref="A34:F34"/>
    <mergeCell ref="A40:F40"/>
    <mergeCell ref="A58:F58"/>
    <mergeCell ref="A59:F59"/>
    <mergeCell ref="A60:F60"/>
    <mergeCell ref="A61:F61"/>
    <mergeCell ref="A63:F63"/>
  </mergeCells>
  <hyperlinks>
    <hyperlink ref="A1" location="'🏠 TRANG CHỦ'!A1" display="⬅ Về Trang chủ"/>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2026-07-02T03:10:34Z</dcterms:created>
  <dc:creator>openpyxl</dc:creator>
  <dc:description/>
  <dc:language>en-US</dc:language>
  <cp:lastModifiedBy/>
  <dcterms:modified xsi:type="dcterms:W3CDTF">2026-07-05T03:33:09Z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